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na\Downloads\"/>
    </mc:Choice>
  </mc:AlternateContent>
  <xr:revisionPtr revIDLastSave="0" documentId="13_ncr:1_{649F173D-408B-4BE4-9CD5-BD25722D8BCF}" xr6:coauthVersionLast="47" xr6:coauthVersionMax="47" xr10:uidLastSave="{00000000-0000-0000-0000-000000000000}"/>
  <bookViews>
    <workbookView xWindow="-108" yWindow="-108" windowWidth="23256" windowHeight="12456" xr2:uid="{BB7B9033-1F19-49B7-B5EB-FCF01B732DFF}"/>
  </bookViews>
  <sheets>
    <sheet name="ledger" sheetId="1" r:id="rId1"/>
    <sheet name="users" sheetId="2" r:id="rId2"/>
    <sheet name="merchants" sheetId="3" r:id="rId3"/>
    <sheet name="payment_method" sheetId="4" r:id="rId4"/>
    <sheet name="Sheet2" sheetId="7" r:id="rId5"/>
    <sheet name="Sheet4" sheetId="5" r:id="rId6"/>
  </sheets>
  <definedNames>
    <definedName name="_xlnm._FilterDatabase" localSheetId="0" hidden="1">ledger!$A$1:$M$1</definedName>
    <definedName name="_xlcn.WorksheetConnection_ledgerA1M5481" hidden="1">ledger!$A$1:$M$548</definedName>
  </definedNames>
  <calcPr calcId="191029"/>
  <pivotCaches>
    <pivotCache cacheId="1" r:id="rId7"/>
    <pivotCache cacheId="34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ledger!$A$1:$M$54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8" i="1" l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B4E68-7A5E-4487-A640-828C86B4ED9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F574AC-67C3-4306-9383-A9A79E9813AE}" name="WorksheetConnection_ledger!$A$1:$M$5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ledgerA1M5481"/>
        </x15:connection>
      </ext>
    </extLst>
  </connection>
</connections>
</file>

<file path=xl/sharedStrings.xml><?xml version="1.0" encoding="utf-8"?>
<sst xmlns="http://schemas.openxmlformats.org/spreadsheetml/2006/main" count="1802" uniqueCount="633">
  <si>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</si>
  <si>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</si>
  <si>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</si>
  <si>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</si>
  <si>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</si>
  <si>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</si>
  <si>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</si>
  <si>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</si>
  <si>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</si>
  <si>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</si>
  <si>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</si>
  <si>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</si>
  <si>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</si>
  <si>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</si>
  <si>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</si>
  <si>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</si>
  <si>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</si>
  <si>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</si>
  <si>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</si>
  <si>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</si>
  <si>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</si>
  <si>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</si>
  <si>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</si>
  <si>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</si>
  <si>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</si>
  <si>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</si>
  <si>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</si>
  <si>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</si>
  <si>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</si>
  <si>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</si>
  <si>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</si>
  <si>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</si>
  <si>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</si>
  <si>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</si>
  <si>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</si>
  <si>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</si>
  <si>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</si>
  <si>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</si>
  <si>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</si>
  <si>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</si>
  <si>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</si>
  <si>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</si>
  <si>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</si>
  <si>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</si>
  <si>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</si>
  <si>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</si>
  <si>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</si>
  <si>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</si>
  <si>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</si>
  <si>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</si>
  <si>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</si>
  <si>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</si>
  <si>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</si>
  <si>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</si>
  <si>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</si>
  <si>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</si>
  <si>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</si>
  <si>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</si>
  <si>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</si>
  <si>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</si>
  <si>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</si>
  <si>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</si>
  <si>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</si>
  <si>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</si>
  <si>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</si>
  <si>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</si>
  <si>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</si>
  <si>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</si>
  <si>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</si>
  <si>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</si>
  <si>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</si>
  <si>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</si>
  <si>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</si>
  <si>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</si>
  <si>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</si>
  <si>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</si>
  <si>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</si>
  <si>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</si>
  <si>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</si>
  <si>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</si>
  <si>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</si>
  <si>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</si>
  <si>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</si>
  <si>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</si>
  <si>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</si>
  <si>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</si>
  <si>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</si>
  <si>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</si>
  <si>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</si>
  <si>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</si>
  <si>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</si>
  <si>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</si>
  <si>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</si>
  <si>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</si>
  <si>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</si>
  <si>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</si>
  <si>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</si>
  <si>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</si>
  <si>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</si>
  <si>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</si>
  <si>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</si>
  <si>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</si>
  <si>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</si>
  <si>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</si>
  <si>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</si>
  <si>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</si>
  <si>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</si>
  <si>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</si>
  <si>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</si>
  <si>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</si>
  <si>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</si>
  <si>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</si>
  <si>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</si>
  <si>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</si>
  <si>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</si>
  <si>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</si>
  <si>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</si>
  <si>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</si>
  <si>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</si>
  <si>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</si>
  <si>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</si>
  <si>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</si>
  <si>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</si>
  <si>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</si>
  <si>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</si>
  <si>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</si>
  <si>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</si>
  <si>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</si>
  <si>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</si>
  <si>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</si>
  <si>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</si>
  <si>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</si>
  <si>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</si>
  <si>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</si>
  <si>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</si>
  <si>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</si>
  <si>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</si>
  <si>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</si>
  <si>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</si>
  <si>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</si>
  <si>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</si>
  <si>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</si>
  <si>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</si>
  <si>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</si>
  <si>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</si>
  <si>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</si>
  <si>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</si>
  <si>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</si>
  <si>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</si>
  <si>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</si>
  <si>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</si>
  <si>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</si>
  <si>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</si>
  <si>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</si>
  <si>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</si>
  <si>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</si>
  <si>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</si>
  <si>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</si>
  <si>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</si>
  <si>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</si>
  <si>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</si>
  <si>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</si>
  <si>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</si>
  <si>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</si>
  <si>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</si>
  <si>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</si>
  <si>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</si>
  <si>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</si>
  <si>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</si>
  <si>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</si>
  <si>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</si>
  <si>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</si>
  <si>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</si>
  <si>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</si>
  <si>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</si>
  <si>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</si>
  <si>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</si>
  <si>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</si>
  <si>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</si>
  <si>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</si>
  <si>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</si>
  <si>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</si>
  <si>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</si>
  <si>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</si>
  <si>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</si>
  <si>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</si>
  <si>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</si>
  <si>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</si>
  <si>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</si>
  <si>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</si>
  <si>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</si>
  <si>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</si>
  <si>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</si>
  <si>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</si>
  <si>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</si>
  <si>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</si>
  <si>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</si>
  <si>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</si>
  <si>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</si>
  <si>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</si>
  <si>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</si>
  <si>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</si>
  <si>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</si>
  <si>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</si>
  <si>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</si>
  <si>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</si>
  <si>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</si>
  <si>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</si>
  <si>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</si>
  <si>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</si>
  <si>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</si>
  <si>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</si>
  <si>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</si>
  <si>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</si>
  <si>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</si>
  <si>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</si>
  <si>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</si>
  <si>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</si>
  <si>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</si>
  <si>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</si>
  <si>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</si>
  <si>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</si>
  <si>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</si>
  <si>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</si>
  <si>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</si>
  <si>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</si>
  <si>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</si>
  <si>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</si>
  <si>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</si>
  <si>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</si>
  <si>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</si>
  <si>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</si>
  <si>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</si>
  <si>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</si>
  <si>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</si>
  <si>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</si>
  <si>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</si>
  <si>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</si>
  <si>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</si>
  <si>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</si>
  <si>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</si>
  <si>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</si>
  <si>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</si>
  <si>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</si>
  <si>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</si>
  <si>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</si>
  <si>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</si>
  <si>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</si>
  <si>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</si>
  <si>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</si>
  <si>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</si>
  <si>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</si>
  <si>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</si>
  <si>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</si>
  <si>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</si>
  <si>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</si>
  <si>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</si>
  <si>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</si>
  <si>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</si>
  <si>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</si>
  <si>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</si>
  <si>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</si>
  <si>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</si>
  <si>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</si>
  <si>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</si>
  <si>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</si>
  <si>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</si>
  <si>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</si>
  <si>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</si>
  <si>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</si>
  <si>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</si>
  <si>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</si>
  <si>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</si>
  <si>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</si>
  <si>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</si>
  <si>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</si>
  <si>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</si>
  <si>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</si>
  <si>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</si>
  <si>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</si>
  <si>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</si>
  <si>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</si>
  <si>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</si>
  <si>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</si>
  <si>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</si>
  <si>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</si>
  <si>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</si>
  <si>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</si>
  <si>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</si>
  <si>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</si>
  <si>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</si>
  <si>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</si>
  <si>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</si>
  <si>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</si>
  <si>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</si>
  <si>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</si>
  <si>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</si>
  <si>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</si>
  <si>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</si>
  <si>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</si>
  <si>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</si>
  <si>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</si>
  <si>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</si>
  <si>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</si>
  <si>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</si>
  <si>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</si>
  <si>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</si>
  <si>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</si>
  <si>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</si>
  <si>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</si>
  <si>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</si>
  <si>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</si>
  <si>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</si>
  <si>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</si>
  <si>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</si>
  <si>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</si>
  <si>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</si>
  <si>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</si>
  <si>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</si>
  <si>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</si>
  <si>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</si>
  <si>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</si>
  <si>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</si>
  <si>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</si>
  <si>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</si>
  <si>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</si>
  <si>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</si>
  <si>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</si>
  <si>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</si>
  <si>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</si>
  <si>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</si>
  <si>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</si>
  <si>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</si>
  <si>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</si>
  <si>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</si>
  <si>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</si>
  <si>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</si>
  <si>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</si>
  <si>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</si>
  <si>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</si>
  <si>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</si>
  <si>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</si>
  <si>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</si>
  <si>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</si>
  <si>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</si>
  <si>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</si>
  <si>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</si>
  <si>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</si>
  <si>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</si>
  <si>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</si>
  <si>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</si>
  <si>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</si>
  <si>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</si>
  <si>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</si>
  <si>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</si>
  <si>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</si>
  <si>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</si>
  <si>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</si>
  <si>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</si>
  <si>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</si>
  <si>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</si>
  <si>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</si>
  <si>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</si>
  <si>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</si>
  <si>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</si>
  <si>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</si>
  <si>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</si>
  <si>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</si>
  <si>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</si>
  <si>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</si>
  <si>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</si>
  <si>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</si>
  <si>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</si>
  <si>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</si>
  <si>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</si>
  <si>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</si>
  <si>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</si>
  <si>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</si>
  <si>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</si>
  <si>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</si>
  <si>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</si>
  <si>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</si>
  <si>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</si>
  <si>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</si>
  <si>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</si>
  <si>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</si>
  <si>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</si>
  <si>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</si>
  <si>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</si>
  <si>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</si>
  <si>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</si>
  <si>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</si>
  <si>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</si>
  <si>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</si>
  <si>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</si>
  <si>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</si>
  <si>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</si>
  <si>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</si>
  <si>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</si>
  <si>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</si>
  <si>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</si>
  <si>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</si>
  <si>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</si>
  <si>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</si>
  <si>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</si>
  <si>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</si>
  <si>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</si>
  <si>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</si>
  <si>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</si>
  <si>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</si>
  <si>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</si>
  <si>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</si>
  <si>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</si>
  <si>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</si>
  <si>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</si>
  <si>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</si>
  <si>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</si>
  <si>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</si>
  <si>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</si>
  <si>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</si>
  <si>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</si>
  <si>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</si>
  <si>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</si>
  <si>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</si>
  <si>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</si>
  <si>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</si>
  <si>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</si>
  <si>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</si>
  <si>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</si>
  <si>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</si>
  <si>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</si>
  <si>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</si>
  <si>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</si>
  <si>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</si>
  <si>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</si>
  <si>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</si>
  <si>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</si>
  <si>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</si>
  <si>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</si>
  <si>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</si>
  <si>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</si>
  <si>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</si>
  <si>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</si>
  <si>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</si>
  <si>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</si>
  <si>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</si>
  <si>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</si>
  <si>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</si>
  <si>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</si>
  <si>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</si>
  <si>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</si>
  <si>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</si>
  <si>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</si>
  <si>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</si>
  <si>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</si>
  <si>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</si>
  <si>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</si>
  <si>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</si>
  <si>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</si>
  <si>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</si>
  <si>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</si>
  <si>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</si>
  <si>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</si>
  <si>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</si>
  <si>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</si>
  <si>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</si>
  <si>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</si>
  <si>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</si>
  <si>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</si>
  <si>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</si>
  <si>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</si>
  <si>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</si>
  <si>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</si>
  <si>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</si>
  <si>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</si>
  <si>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</si>
  <si>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</si>
  <si>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</si>
  <si>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</si>
  <si>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</si>
  <si>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</si>
  <si>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</si>
  <si>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</si>
  <si>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</si>
  <si>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</si>
  <si>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</si>
  <si>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</si>
  <si>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</si>
  <si>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</si>
  <si>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</si>
  <si>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</si>
  <si>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</si>
  <si>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</si>
  <si>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</si>
  <si>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</si>
  <si>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</si>
  <si>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</si>
  <si>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</si>
  <si>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</si>
  <si>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</si>
  <si>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</si>
  <si>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</si>
  <si>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</si>
  <si>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</si>
  <si>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</si>
  <si>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</si>
  <si>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</si>
  <si>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</si>
  <si>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</si>
  <si>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</si>
  <si>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</si>
  <si>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</si>
  <si>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</si>
  <si>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</si>
  <si>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</si>
  <si>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</si>
  <si>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</si>
  <si>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</si>
  <si>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</si>
  <si>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</si>
  <si>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</si>
  <si>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</si>
  <si>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</si>
  <si>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</si>
  <si>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</si>
  <si>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</si>
  <si>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</si>
  <si>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</si>
  <si>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</si>
  <si>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</si>
  <si>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</si>
  <si>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</si>
  <si>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</si>
  <si>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</si>
  <si>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</si>
  <si>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</si>
  <si>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</si>
  <si>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</si>
  <si>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</si>
  <si>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</si>
  <si>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</si>
  <si>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</si>
  <si>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</si>
  <si>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</si>
  <si>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</si>
  <si>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</si>
  <si>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</si>
  <si>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</si>
  <si>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</si>
  <si>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</si>
  <si>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</si>
  <si>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</si>
  <si>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</si>
  <si>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</si>
  <si>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</si>
  <si>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</si>
  <si>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</si>
  <si>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</si>
  <si>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</si>
  <si>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</si>
  <si>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</si>
  <si>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</si>
  <si>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signup_date</t>
  </si>
  <si>
    <t>User_Signup_Date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</si>
  <si>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</si>
  <si>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</si>
  <si>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</si>
  <si>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</si>
  <si>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</si>
  <si>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</si>
  <si>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</si>
  <si>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</si>
  <si>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</si>
  <si>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</si>
  <si>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</si>
  <si>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</si>
  <si>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</si>
  <si>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</si>
  <si>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</si>
  <si>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</si>
  <si>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</si>
  <si>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</si>
  <si>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</si>
  <si>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</si>
  <si>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</si>
  <si>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</si>
  <si>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</si>
  <si>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</si>
  <si>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</si>
  <si>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</si>
  <si>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</si>
  <si>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</si>
  <si>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</si>
  <si>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</si>
  <si>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</si>
  <si>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</si>
  <si>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</si>
  <si>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</si>
  <si>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</si>
  <si>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</si>
  <si>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</si>
  <si>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</si>
  <si>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</si>
  <si>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</si>
  <si>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</si>
  <si>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</si>
  <si>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</si>
  <si>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</si>
  <si>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</si>
  <si>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</si>
  <si>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</si>
  <si>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</si>
  <si>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</si>
  <si>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</si>
  <si>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</si>
  <si>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</si>
  <si>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</si>
  <si>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</si>
  <si>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Merchant_Category</t>
  </si>
  <si>
    <t>Merchant_Region</t>
  </si>
  <si>
    <t>Payment Method</t>
  </si>
  <si>
    <t>MDR Fees</t>
  </si>
  <si>
    <t>MDR FEE RATE</t>
  </si>
  <si>
    <t>High-Value Merchant Day</t>
  </si>
  <si>
    <t>Sum of amount_inr</t>
  </si>
  <si>
    <t>Row Labels</t>
  </si>
  <si>
    <t>Grand Total</t>
  </si>
  <si>
    <t>Count of merchant_id</t>
  </si>
  <si>
    <t>Count of transaction_id</t>
  </si>
  <si>
    <t>Distinct Count of user_id</t>
  </si>
  <si>
    <t>Merchant ID</t>
  </si>
  <si>
    <t>Total Transactions</t>
  </si>
  <si>
    <t>Unique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</si>
</sst>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4" fontId="16" fillId="0" borderId="0" xfId="0" applyNumberFormat="1" applyFont="1"/>
    <xf numFmtId="0" fontId="16" fillId="0" borderId="0" xfId="0" applyFont="1"/>
    <xf numFmtId="0" fontId="0" fillId="0" borderId="10" xfId="0" applyBorder="1"/>
    <xf numFmtId="10" fontId="0" fillId="0" borderId="10" xfId="0" applyNumberFormat="1" applyBorder="1"/>
    <xf numFmtId="0" fontId="16" fillId="0" borderId="10" xfId="0" applyFont="1" applyBorder="1"/>
    <xf numFmtId="10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34" borderId="10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1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na" refreshedDate="46241.019502777781" createdVersion="8" refreshedVersion="8" minRefreshableVersion="3" recordCount="547" xr:uid="{250A91C9-26DB-4C45-8795-71113627CF93}">
  <cacheSource type="worksheet">
    <worksheetSource ref="A1:M548" sheet="ledger"/>
  </cacheSource>
  <cacheFields count="16">
    <cacheField name="transaction_id" numFmtId="0">
      <sharedItems count="547"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 count="542">
        <d v="2026-01-29T11:13:00"/>
        <d v="2026-01-04T11:49:00"/>
        <d v="2026-01-24T04:59:00"/>
        <d v="2026-01-29T13:01:00"/>
        <d v="2026-01-30T13:51:00"/>
        <d v="2026-01-06T22:06:00"/>
        <d v="2026-01-08T06:52:00"/>
        <d v="2026-01-27T07:14:00"/>
        <d v="2026-01-11T08:55:00"/>
        <d v="2026-01-21T16:25:00"/>
        <d v="2026-01-01T03:56:00"/>
        <d v="2026-01-09T01:06:00"/>
        <d v="2026-01-24T10:27:00"/>
        <d v="2026-01-13T18:12:00"/>
        <d v="2026-01-14T00:33:00"/>
        <d v="2026-01-14T02:42:00"/>
        <d v="2026-01-22T03:46:00"/>
        <d v="2026-01-22T13:20:00"/>
        <d v="2026-01-05T06:26:00"/>
        <d v="2026-01-24T05:39:00"/>
        <d v="2026-01-18T00:19:00"/>
        <d v="2026-01-26T18:38:00"/>
        <d v="2026-01-15T14:43:00"/>
        <d v="2026-01-26T23:10:00"/>
        <d v="2026-01-17T21:40:00"/>
        <d v="2026-01-27T07:43:00"/>
        <d v="2026-01-05T00:02:00"/>
        <d v="2026-01-28T02:29:00"/>
        <d v="2026-01-23T22:24:00"/>
        <d v="2026-01-05T20:44:00"/>
        <d v="2026-01-14T07:11:00"/>
        <d v="2026-01-18T07:58:00"/>
        <d v="2026-01-26T14:42:00"/>
        <d v="2026-01-11T14:39:00"/>
        <d v="2026-01-15T05:47:00"/>
        <d v="2026-01-25T07:53:00"/>
        <d v="2026-01-25T16:31:00"/>
        <d v="2026-01-15T02:45:00"/>
        <d v="2026-01-11T10:57:00"/>
        <d v="2026-01-05T07:24:00"/>
        <d v="2026-01-14T13:21:00"/>
        <d v="2026-01-02T06:53:00"/>
        <d v="2026-01-19T22:01:00"/>
        <d v="2026-01-01T11:19:00"/>
        <d v="2026-01-24T23:34:00"/>
        <d v="2026-01-08T08:27:00"/>
        <d v="2026-01-11T21:43:00"/>
        <d v="2026-01-30T04:39:00"/>
        <d v="2026-01-19T18:42:00"/>
        <d v="2026-01-14T04:55:00"/>
        <d v="2026-01-09T12:20:00"/>
        <d v="2026-01-11T12:17:00"/>
        <d v="2026-01-16T00:47:00"/>
        <d v="2026-01-08T20:04:00"/>
        <d v="2026-01-01T07:12:00"/>
        <d v="2026-01-08T04:30:00"/>
        <d v="2026-01-07T14:44:00"/>
        <d v="2026-01-20T19:47:00"/>
        <d v="2026-01-04T18:01:00"/>
        <d v="2026-01-30T12:25:00"/>
        <d v="2026-01-23T20:15:00"/>
        <d v="2026-01-20T03:50:00"/>
        <d v="2026-01-18T13:42:00"/>
        <d v="2026-01-21T10:00:00"/>
        <d v="2026-01-14T11:40:00"/>
        <d v="2026-01-06T23:33:00"/>
        <d v="2026-01-26T17:49:00"/>
        <d v="2026-01-27T23:37:00"/>
        <d v="2026-01-27T02:17:00"/>
        <d v="2026-01-15T18:39:00"/>
        <d v="2026-01-01T15:54:00"/>
        <d v="2026-01-07T11:51:00"/>
        <d v="2026-01-29T19:44:00"/>
        <d v="2026-01-17T06:05:00"/>
        <d v="2026-01-18T07:44:00"/>
        <d v="2026-01-26T00:05:00"/>
        <d v="2026-01-23T07:19:00"/>
        <d v="2026-01-16T17:33:00"/>
        <d v="2026-01-18T10:22:00"/>
        <d v="2026-01-09T07:07:00"/>
        <d v="2026-01-24T17:48:00"/>
        <d v="2026-01-24T15:17:00"/>
        <d v="2026-01-10T03:53:00"/>
        <d v="2026-01-12T05:19:00"/>
        <d v="2026-01-09T01:03:00"/>
        <d v="2026-01-05T20:55:00"/>
        <d v="2026-01-19T09:30:00"/>
        <d v="2026-01-06T01:16:00"/>
        <d v="2026-01-13T15:04:00"/>
        <d v="2026-01-05T18:19:00"/>
        <d v="2026-01-18T13:38:00"/>
        <d v="2026-01-25T16:24:00"/>
        <d v="2026-01-28T18:27:00"/>
        <d v="2026-01-02T19:47:00"/>
        <d v="2026-01-07T08:42:00"/>
        <d v="2026-01-06T17:04:00"/>
        <d v="2026-01-15T22:38:00"/>
        <d v="2026-01-08T09:45:00"/>
        <d v="2026-01-22T07:59:00"/>
        <d v="2026-01-26T06:27:00"/>
        <d v="2026-01-21T04:58:00"/>
        <d v="2026-01-02T05:50:00"/>
        <d v="2026-01-27T18:58:00"/>
        <d v="2026-01-15T22:19:00"/>
        <d v="2026-01-18T15:28:00"/>
        <d v="2026-01-29T13:47:00"/>
        <d v="2026-01-01T02:14:00"/>
        <d v="2026-01-01T21:52:00"/>
        <d v="2026-01-25T05:30:00"/>
        <d v="2026-01-06T18:27:00"/>
        <d v="2026-01-16T11:26:00"/>
        <d v="2026-01-04T05:21:00"/>
        <d v="2026-01-22T12:52:00"/>
        <d v="2026-01-03T10:16:00"/>
        <d v="2026-01-13T16:52:00"/>
        <d v="2026-01-14T01:12:00"/>
        <d v="2026-01-25T15:40:00"/>
        <d v="2026-01-09T17:08:00"/>
        <d v="2026-01-16T03:01:00"/>
        <d v="2026-01-23T05:19:00"/>
        <d v="2026-01-14T02:14:00"/>
        <d v="2026-01-21T04:31:00"/>
        <d v="2026-01-09T13:53:00"/>
        <d v="2026-01-15T17:09:00"/>
        <d v="2026-01-17T23:56:00"/>
        <d v="2026-01-25T13:21:00"/>
        <d v="2026-01-10T23:19:00"/>
        <d v="2026-01-16T04:28:00"/>
        <d v="2026-01-11T17:48:00"/>
        <d v="2026-01-30T10:55:00"/>
        <d v="2026-01-13T07:54:00"/>
        <d v="2026-01-24T15:45:00"/>
        <d v="2026-01-26T20:09:00"/>
        <d v="2026-01-17T18:21:00"/>
        <d v="2026-01-17T14:00:00"/>
        <d v="2026-01-05T02:30:00"/>
        <d v="2026-01-23T12:41:00"/>
        <d v="2026-01-28T17:24:00"/>
        <d v="2026-01-02T19:04:00"/>
        <d v="2026-01-24T02:27:00"/>
        <d v="2026-01-06T22:19:00"/>
        <d v="2026-01-26T01:18:00"/>
        <d v="2026-01-05T07:33:00"/>
        <d v="2026-01-26T05:10:00"/>
        <d v="2026-01-28T12:39:00"/>
        <d v="2026-01-30T18:09:00"/>
        <d v="2026-01-09T14:16:00"/>
        <d v="2026-01-29T09:43:00"/>
        <d v="2026-01-15T11:37:00"/>
        <d v="2026-01-09T14:54:00"/>
        <d v="2026-01-28T15:06:00"/>
        <d v="2026-01-12T18:18:00"/>
        <d v="2026-01-13T08:00:00"/>
        <d v="2026-01-24T15:53:00"/>
        <d v="2026-01-26T11:14:00"/>
        <d v="2026-01-09T21:48:00"/>
        <d v="2026-01-04T20:41:00"/>
        <d v="2026-01-15T01:37:00"/>
        <d v="2026-01-30T09:20:00"/>
        <d v="2026-01-05T17:56:00"/>
        <d v="2026-01-30T08:53:00"/>
        <d v="2026-01-26T09:47:00"/>
        <d v="2026-01-03T04:48:00"/>
        <d v="2026-01-12T02:50:00"/>
        <d v="2026-01-18T03:29:00"/>
        <d v="2026-01-13T20:23:00"/>
        <d v="2026-01-01T19:56:00"/>
        <d v="2026-01-10T20:26:00"/>
        <d v="2026-01-02T09:31:00"/>
        <d v="2026-01-29T17:08:00"/>
        <d v="2026-01-22T23:44:00"/>
        <d v="2026-01-24T23:09:00"/>
        <d v="2026-01-20T13:17:00"/>
        <d v="2026-01-15T14:15:00"/>
        <d v="2026-01-12T17:57:00"/>
        <d v="2026-01-13T08:12:00"/>
        <d v="2026-01-22T06:41:00"/>
        <d v="2026-01-02T10:15:00"/>
        <d v="2026-01-03T17:13:00"/>
        <d v="2026-01-11T04:50:00"/>
        <d v="2026-01-28T04:08:00"/>
        <d v="2026-01-04T21:55:00"/>
        <d v="2026-01-12T07:37:00"/>
        <d v="2026-01-09T01:08:00"/>
        <d v="2026-01-24T02:30:00"/>
        <d v="2026-01-19T03:28:00"/>
        <d v="2026-01-02T23:50:00"/>
        <d v="2026-01-15T20:01:00"/>
        <d v="2026-01-14T21:06:00"/>
        <d v="2026-01-29T02:20:00"/>
        <d v="2026-01-05T08:39:00"/>
        <d v="2026-01-23T10:24:00"/>
        <d v="2026-01-15T16:38:00"/>
        <d v="2026-01-15T07:26:00"/>
        <d v="2026-01-14T23:06:00"/>
        <d v="2026-01-22T08:23:00"/>
        <d v="2026-01-03T02:05:00"/>
        <d v="2026-01-24T11:51:00"/>
        <d v="2026-01-19T17:35:00"/>
        <d v="2026-01-12T21:48:00"/>
        <d v="2026-01-20T09:22:00"/>
        <d v="2026-01-07T04:42:00"/>
        <d v="2026-01-12T17:23:00"/>
        <d v="2026-01-08T13:54:00"/>
        <d v="2026-01-22T20:35:00"/>
        <d v="2026-01-27T22:17:00"/>
        <d v="2026-01-23T09:58:00"/>
        <d v="2026-01-06T04:36:00"/>
        <d v="2026-01-05T23:40:00"/>
        <d v="2026-01-17T06:24:00"/>
        <d v="2026-01-06T11:19:00"/>
        <d v="2026-01-03T01:09:00"/>
        <d v="2026-01-22T02:17:00"/>
        <d v="2026-01-20T14:26:00"/>
        <d v="2026-01-17T03:22:00"/>
        <d v="2026-01-22T21:37:00"/>
        <d v="2026-01-10T01:14:00"/>
        <d v="2026-01-01T06:19:00"/>
        <d v="2026-01-09T09:20:00"/>
        <d v="2026-01-24T13:11:00"/>
        <d v="2026-01-23T07:32:00"/>
        <d v="2026-01-13T23:02:00"/>
        <d v="2026-01-30T02:55:00"/>
        <d v="2026-01-19T12:45:00"/>
        <d v="2026-01-04T12:01:00"/>
        <d v="2026-01-15T22:58:00"/>
        <d v="2026-01-28T03:15:00"/>
        <d v="2026-01-17T02:25:00"/>
        <d v="2026-01-11T05:04:00"/>
        <d v="2026-01-17T06:57:00"/>
        <d v="2026-01-27T20:52:00"/>
        <d v="2026-01-05T08:12:00"/>
        <d v="2026-01-25T20:04:00"/>
        <d v="2026-01-25T18:48:00"/>
        <d v="2026-01-30T18:41:00"/>
        <d v="2026-01-28T20:20:00"/>
        <d v="2026-01-16T14:40:00"/>
        <d v="2026-01-02T11:32:00"/>
        <d v="2026-01-15T01:03:00"/>
        <d v="2026-01-21T02:39:00"/>
        <d v="2026-01-15T18:35:00"/>
        <d v="2026-01-21T06:20:00"/>
        <d v="2026-01-05T01:28:00"/>
        <d v="2026-01-03T16:41:00"/>
        <d v="2026-01-23T14:28:00"/>
        <d v="2026-01-06T11:23:00"/>
        <d v="2026-01-25T10:43:00"/>
        <d v="2026-01-21T10:04:00"/>
        <d v="2026-01-22T12:18:00"/>
        <d v="2026-01-11T02:37:00"/>
        <d v="2026-01-10T20:44:00"/>
        <d v="2026-01-20T22:05:00"/>
        <d v="2026-01-21T10:52:00"/>
        <d v="2026-01-21T21:27:00"/>
        <d v="2026-01-12T09:11:00"/>
        <d v="2026-01-16T06:14:00"/>
        <d v="2026-01-10T03:32:00"/>
        <d v="2026-01-22T10:56:00"/>
        <d v="2026-01-13T04:10:00"/>
        <d v="2026-01-24T14:02:00"/>
        <d v="2026-01-24T07:28:00"/>
        <d v="2026-01-24T14:14:00"/>
        <d v="2026-01-26T15:57:00"/>
        <d v="2026-01-19T14:29:00"/>
        <d v="2026-01-17T13:10:00"/>
        <d v="2026-01-28T08:03:00"/>
        <d v="2026-01-18T03:45:00"/>
        <d v="2026-01-03T05:17:00"/>
        <d v="2026-01-27T13:05:00"/>
        <d v="2026-01-30T00:26:00"/>
        <d v="2026-01-12T07:24:00"/>
        <d v="2026-01-01T10:59:00"/>
        <d v="2026-01-05T01:18:00"/>
        <d v="2026-01-23T15:28:00"/>
        <d v="2026-01-01T08:13:00"/>
        <d v="2026-01-20T16:27:00"/>
        <d v="2026-01-10T03:03:00"/>
        <d v="2026-01-26T19:29:00"/>
        <d v="2026-01-20T17:01:00"/>
        <d v="2026-01-08T22:09:00"/>
        <d v="2026-01-20T11:15:00"/>
        <d v="2026-01-22T21:05:00"/>
        <d v="2026-01-17T17:32:00"/>
        <d v="2026-01-13T15:02:00"/>
        <d v="2026-01-09T23:01:00"/>
        <d v="2026-01-08T23:42:00"/>
        <d v="2026-01-19T23:48:00"/>
        <d v="2026-01-12T17:21:00"/>
        <d v="2026-01-22T14:44:00"/>
        <d v="2026-01-03T22:49:00"/>
        <d v="2026-01-07T01:50:00"/>
        <d v="2026-01-30T09:32:00"/>
        <d v="2026-01-09T01:48:00"/>
        <d v="2026-01-12T01:55:00"/>
        <d v="2026-01-04T11:27:00"/>
        <d v="2026-01-11T05:31:00"/>
        <d v="2026-01-09T02:46:00"/>
        <d v="2026-01-20T05:34:00"/>
        <d v="2026-01-03T10:42:00"/>
        <d v="2026-01-20T22:27:00"/>
        <d v="2026-01-15T01:46:00"/>
        <d v="2026-01-09T20:50:00"/>
        <d v="2026-01-21T12:23:00"/>
        <d v="2026-01-05T19:43:00"/>
        <d v="2026-01-03T07:49:00"/>
        <d v="2026-01-13T18:02:00"/>
        <d v="2026-01-15T11:23:00"/>
        <d v="2026-01-05T16:23:00"/>
        <d v="2026-01-17T12:58:00"/>
        <d v="2026-01-25T08:45:00"/>
        <d v="2026-01-10T22:58:00"/>
        <d v="2026-01-05T02:28:00"/>
        <d v="2026-01-26T21:54:00"/>
        <d v="2026-01-03T17:34:00"/>
        <d v="2026-01-23T22:59:00"/>
        <d v="2026-01-17T07:07:00"/>
        <d v="2026-01-26T15:01:00"/>
        <d v="2026-01-12T14:51:00"/>
        <d v="2026-01-29T02:04:00"/>
        <d v="2026-01-24T15:33:00"/>
        <d v="2026-01-03T04:20:00"/>
        <d v="2026-01-15T21:33:00"/>
        <d v="2026-01-18T20:37:00"/>
        <d v="2026-01-17T01:53:00"/>
        <d v="2026-01-10T05:10:00"/>
        <d v="2026-01-17T09:54:00"/>
        <d v="2026-01-21T17:17:00"/>
        <d v="2026-01-18T02:32:00"/>
        <d v="2026-01-19T04:10:00"/>
        <d v="2026-01-29T19:21:00"/>
        <d v="2026-01-03T01:41:00"/>
        <d v="2026-01-07T18:26:00"/>
        <d v="2026-01-29T20:34:00"/>
        <d v="2026-01-08T21:25:00"/>
        <d v="2026-01-23T01:10:00"/>
        <d v="2026-01-15T06:21:00"/>
        <d v="2026-01-28T22:20:00"/>
        <d v="2026-01-25T11:32:00"/>
        <d v="2026-01-08T14:07:00"/>
        <d v="2026-01-05T03:03:00"/>
        <d v="2026-01-14T07:55:00"/>
        <d v="2026-01-24T10:12:00"/>
        <d v="2026-01-15T15:56:00"/>
        <d v="2026-01-03T12:32:00"/>
        <d v="2026-01-19T11:03:00"/>
        <d v="2026-01-20T20:43:00"/>
        <d v="2026-01-01T03:27:00"/>
        <d v="2026-01-12T12:23:00"/>
        <d v="2026-01-19T17:12:00"/>
        <d v="2026-01-27T19:43:00"/>
        <d v="2026-01-04T12:23:00"/>
        <d v="2026-01-25T04:12:00"/>
        <d v="2026-01-17T01:02:00"/>
        <d v="2026-01-11T15:33:00"/>
        <d v="2026-01-29T16:08:00"/>
        <d v="2026-01-06T12:39:00"/>
        <d v="2026-01-17T16:34:00"/>
        <d v="2026-01-16T00:23:00"/>
        <d v="2026-01-19T09:50:00"/>
        <d v="2026-01-16T08:41:00"/>
        <d v="2026-01-24T01:37:00"/>
        <d v="2026-01-21T23:39:00"/>
        <d v="2026-01-08T01:36:00"/>
        <d v="2026-01-15T10:26:00"/>
        <d v="2026-01-07T13:32:00"/>
        <d v="2026-01-24T01:45:00"/>
        <d v="2026-01-18T10:42:00"/>
        <d v="2026-01-11T05:29:00"/>
        <d v="2026-01-12T21:49:00"/>
        <d v="2026-01-16T06:15:00"/>
        <d v="2026-01-08T09:49:00"/>
        <d v="2026-01-23T15:20:00"/>
        <d v="2026-01-30T23:17:00"/>
        <d v="2026-01-22T17:24:00"/>
        <d v="2026-01-26T04:18:00"/>
        <d v="2026-01-03T11:59:00"/>
        <d v="2026-01-16T06:12:00"/>
        <d v="2026-01-23T08:08:00"/>
        <d v="2026-01-19T07:15:00"/>
        <d v="2026-01-21T07:03:00"/>
        <d v="2026-01-23T15:06:00"/>
        <d v="2026-01-18T05:26:00"/>
        <d v="2026-01-21T06:48:00"/>
        <d v="2026-01-21T01:58:00"/>
        <d v="2026-01-18T23:46:00"/>
        <d v="2026-01-29T05:59:00"/>
        <d v="2026-01-16T05:59:00"/>
        <d v="2026-01-10T18:38:00"/>
        <d v="2026-01-15T20:34:00"/>
        <d v="2026-01-28T16:29:00"/>
        <d v="2026-01-11T05:46:00"/>
        <d v="2026-01-06T00:47:00"/>
        <d v="2026-01-22T06:11:00"/>
        <d v="2026-01-17T10:05:00"/>
        <d v="2026-01-05T15:20:00"/>
        <d v="2026-01-13T07:28:00"/>
        <d v="2026-01-19T23:36:00"/>
        <d v="2026-01-12T22:15:00"/>
        <d v="2026-01-10T05:25:00"/>
        <d v="2026-01-04T20:58:00"/>
        <d v="2026-01-08T07:08:00"/>
        <d v="2026-01-24T19:23:00"/>
        <d v="2026-01-25T17:51:00"/>
        <d v="2026-01-08T21:48:00"/>
        <d v="2026-01-15T16:45:00"/>
        <d v="2026-01-04T01:53:00"/>
        <d v="2026-01-19T17:09:00"/>
        <d v="2026-01-15T03:43:00"/>
        <d v="2026-01-03T16:28:00"/>
        <d v="2026-01-17T13:29:00"/>
        <d v="2026-01-15T21:51:00"/>
        <d v="2026-01-09T00:47:00"/>
        <d v="2026-01-02T13:22:00"/>
        <d v="2026-01-30T02:59:00"/>
        <d v="2026-01-14T05:49:00"/>
        <d v="2026-01-29T12:28:00"/>
        <d v="2026-01-22T21:55:00"/>
        <d v="2026-01-28T11:07:00"/>
        <d v="2026-01-17T04:46:00"/>
        <d v="2026-01-01T09:29:00"/>
        <d v="2026-01-18T12:52:00"/>
        <d v="2026-01-12T04:17:00"/>
        <d v="2026-01-26T21:26:00"/>
        <d v="2026-01-07T02:06:00"/>
        <d v="2026-01-20T21:45:00"/>
        <d v="2026-01-02T12:28:00"/>
        <d v="2026-01-25T01:08:00"/>
        <d v="2026-01-27T23:36:00"/>
        <d v="2026-01-25T21:52:00"/>
        <d v="2026-01-29T04:42:00"/>
        <d v="2026-01-10T08:03:00"/>
        <d v="2026-01-30T05:40:00"/>
        <d v="2026-01-16T01:22:00"/>
        <d v="2026-01-17T10:44:00"/>
        <d v="2026-01-10T12:11:00"/>
        <d v="2026-01-28T07:19:00"/>
        <d v="2026-01-18T13:26:00"/>
        <d v="2026-01-13T07:16:00"/>
        <d v="2026-01-03T14:54:00"/>
        <d v="2026-01-24T06:03:00"/>
        <d v="2026-01-20T19:02:00"/>
        <d v="2026-01-19T23:42:00"/>
        <d v="2026-01-07T10:19:00"/>
        <d v="2026-01-24T03:47:00"/>
        <d v="2026-01-20T22:13:00"/>
        <d v="2026-01-11T09:24:00"/>
        <d v="2026-01-12T09:16:00"/>
        <d v="2026-01-15T03:51:00"/>
        <d v="2026-01-12T10:26:00"/>
        <d v="2026-01-24T04:01:00"/>
        <d v="2026-01-19T23:26:00"/>
        <d v="2026-01-11T07:24:00"/>
        <d v="2026-01-18T20:43:00"/>
        <d v="2026-01-27T15:46:00"/>
        <d v="2026-01-06T23:50:00"/>
        <d v="2026-01-24T17:31:00"/>
        <d v="2026-01-02T16:02:00"/>
        <d v="2026-01-01T13:08:00"/>
        <d v="2026-01-23T04:00:00"/>
        <d v="2026-01-12T01:39:00"/>
        <d v="2026-01-22T15:01:00"/>
        <d v="2026-01-14T00:01:00"/>
        <d v="2026-01-10T00:32:00"/>
        <d v="2026-01-04T03:33:00"/>
        <d v="2026-01-20T16:16:00"/>
        <d v="2026-01-03T11:25:00"/>
        <d v="2026-01-13T12:24:00"/>
        <d v="2026-01-21T00:44:00"/>
        <d v="2026-01-28T13:41:00"/>
        <d v="2026-01-29T16:58:00"/>
        <d v="2026-01-29T22:56:00"/>
        <d v="2026-01-02T02:43:00"/>
        <d v="2026-01-22T01:11:00"/>
        <d v="2026-01-19T04:48:00"/>
        <d v="2026-01-06T18:15:00"/>
        <d v="2026-01-29T17:21:00"/>
        <d v="2026-01-24T02:32:00"/>
        <d v="2026-01-14T07:53:00"/>
        <d v="2026-01-25T19:38:00"/>
        <d v="2026-01-21T08:50:00"/>
        <d v="2026-01-12T17:24:00"/>
        <d v="2026-01-19T21:24:00"/>
        <d v="2026-01-26T07:45:00"/>
        <d v="2026-01-05T12:45:00"/>
        <d v="2026-01-13T10:23:00"/>
        <d v="2026-01-10T14:23:00"/>
        <d v="2026-01-03T05:27:00"/>
        <d v="2026-01-17T13:06:00"/>
        <d v="2026-01-18T02:38:00"/>
        <d v="2026-01-01T09:26:00"/>
        <d v="2026-01-29T17:57:00"/>
        <d v="2026-01-06T21:24:00"/>
        <d v="2026-01-10T08:31:00"/>
        <d v="2026-01-14T08:26:00"/>
        <d v="2026-01-03T11:16:00"/>
        <d v="2026-01-30T06:00:00"/>
        <d v="2026-01-11T12:00:00"/>
        <d v="2026-01-21T14:00:00"/>
        <d v="2026-01-21T19:00:00"/>
        <d v="2026-01-16T12:00:00"/>
        <d v="2026-01-29T07:00:00"/>
        <d v="2026-01-23T11:00:00"/>
        <d v="2026-01-28T05:00:00"/>
        <d v="2026-01-25T22:00:00"/>
        <d v="2026-01-13T13:00:00"/>
        <d v="2026-01-20T07:00:00"/>
        <d v="2026-01-23T02:00:00"/>
        <d v="2026-01-23T17:00:00"/>
        <d v="2026-01-22T22:00:00"/>
        <d v="2026-01-18T21:00:00"/>
        <d v="2026-01-02T18:00:00"/>
        <d v="2026-01-02T18:01:00"/>
        <d v="2026-01-02T18:02:00"/>
        <d v="2026-01-02T18:03:00"/>
        <d v="2026-01-12T12:00:00"/>
        <d v="2026-01-12T12:01:00"/>
        <d v="2026-01-12T12:02:00"/>
        <d v="2026-01-12T12:03:00"/>
        <d v="2026-01-12T09:00:00"/>
        <d v="2026-01-12T09:01:00"/>
        <d v="2026-01-12T09:02:00"/>
        <d v="2026-01-12T09:03:00"/>
        <d v="2026-01-02T22:00:00"/>
        <d v="2026-01-02T22:01:00"/>
        <d v="2026-01-02T22:02:00"/>
        <d v="2026-01-02T22:03:00"/>
        <d v="2026-01-14T14:00:00"/>
        <d v="2026-01-14T14:01:00"/>
        <d v="2026-01-14T14:02:00"/>
        <d v="2026-01-14T14:03:00"/>
        <d v="2026-01-01T22:00:00"/>
        <d v="2026-01-01T22:01:00"/>
        <d v="2026-01-01T22:02:00"/>
        <d v="2026-01-01T22:03:00"/>
        <d v="2026-01-09T21:00:00"/>
        <d v="2026-01-09T21:01:00"/>
        <d v="2026-01-09T21:02:00"/>
        <d v="2026-01-09T21:03:00"/>
        <d v="2026-01-23T09:00:00"/>
        <d v="2026-01-23T09:01:00"/>
        <d v="2026-01-23T09:02:00"/>
        <d v="2026-01-23T09:03:00"/>
      </sharedItems>
      <fieldGroup par="15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User_Signup_Date" numFmtId="14">
      <sharedItems containsSemiMixedTypes="0" containsNonDate="0" containsDate="1" containsString="0" minDate="2024-01-04T00:00:00" maxDate="2026-01-19T11:00:00"/>
    </cacheField>
    <cacheField name="Merchant_Category" numFmtId="0">
      <sharedItems count="7">
        <s v="bill_payment"/>
        <s v="ecommerce"/>
        <s v="travel"/>
        <s v="grocery"/>
        <s v="recharge"/>
        <s v="entertainment"/>
        <s v="food_delivery"/>
      </sharedItems>
    </cacheField>
    <cacheField name="Merchant_Region" numFmtId="0">
      <sharedItems/>
    </cacheField>
    <cacheField name="MDR FEE RATE" numFmtId="10">
      <sharedItems containsSemiMixedTypes="0" containsString="0" containsNumber="1" minValue="0" maxValue="0.02"/>
    </cacheField>
    <cacheField name="High-Value Merchant Day" numFmtId="0">
      <sharedItems/>
    </cacheField>
    <cacheField name="Minutes (transaction_time)" numFmtId="0" databaseField="0">
      <fieldGroup base="3">
        <rangePr groupBy="minutes" startDate="2026-01-01T02:14:00" endDate="2026-01-30T23:17:00"/>
        <groupItems count="62">
          <s v="&lt;01-01-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0-01-26"/>
        </groupItems>
      </fieldGroup>
    </cacheField>
    <cacheField name="Hours (transaction_time)" numFmtId="0" databaseField="0">
      <fieldGroup base="3">
        <rangePr groupBy="hours" startDate="2026-01-01T02:14:00" endDate="2026-01-30T23:17:00"/>
        <groupItems count="26">
          <s v="&lt;01-01-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0-01-26"/>
        </groupItems>
      </fieldGroup>
    </cacheField>
    <cacheField name="Days (transaction_time)" numFmtId="0" databaseField="0">
      <fieldGroup base="3">
        <rangePr groupBy="days" startDate="2026-01-01T02:14:00" endDate="2026-01-30T23:17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1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mna" refreshedDate="46264.445858333333" backgroundQuery="1" createdVersion="8" refreshedVersion="8" minRefreshableVersion="3" recordCount="0" supportSubquery="1" supportAdvancedDrill="1" xr:uid="{D67A256F-42E7-4A73-984C-F5DCDE4233D7}">
  <cacheSource type="external" connectionId="1"/>
  <cacheFields count="3">
    <cacheField name="[Measures].[Count of transaction_id]" caption="Count of transaction_id" numFmtId="0" hierarchy="16" level="32767"/>
    <cacheField name="[Range].[merchant_id].[merchant_id]" caption="merchant_id" numFmtId="0" hierarchy="2" level="1">
      <sharedItems containsSemiMixedTypes="0" containsString="0" containsNumber="1" containsInteger="1" minValue="3" maxValue="37" count="5">
        <n v="3"/>
        <n v="9"/>
        <n v="16"/>
        <n v="29"/>
        <n v="37"/>
      </sharedItems>
      <extLst>
        <ext xmlns:x15="http://schemas.microsoft.com/office/spreadsheetml/2010/11/main" uri="{4F2E5C28-24EA-4eb8-9CBF-B6C8F9C3D259}">
          <x15:cachedUniqueNames>
            <x15:cachedUniqueName index="0" name="[Range].[merchant_id].&amp;[3]"/>
            <x15:cachedUniqueName index="1" name="[Range].[merchant_id].&amp;[9]"/>
            <x15:cachedUniqueName index="2" name="[Range].[merchant_id].&amp;[16]"/>
            <x15:cachedUniqueName index="3" name="[Range].[merchant_id].&amp;[29]"/>
            <x15:cachedUniqueName index="4" name="[Range].[merchant_id].&amp;[37]"/>
          </x15:cachedUniqueNames>
        </ext>
      </extLst>
    </cacheField>
    <cacheField name="[Measures].[Distinct Count of user_id]" caption="Distinct Count of user_id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2" memberValueDatatype="20" unbalanced="0">
      <fieldsUsage count="2">
        <fieldUsage x="-1"/>
        <fieldUsage x="1"/>
      </fieldsUsage>
    </cacheHierarchy>
    <cacheHierarchy uniqueName="[Range].[transaction_time]" caption="transaction_time" attribute="1" time="1" defaultMemberUniqueName="[Range].[transaction_time].[All]" allUniqueName="[Range].[transaction_time].[All]" dimensionUniqueName="[Range]" displayFolder="" count="0" memberValueDatatype="7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User_Signup_Date]" caption="User_Signup_Date" attribute="1" time="1" defaultMemberUniqueName="[Range].[User_Signup_Date].[All]" allUniqueName="[Range].[User_Signup_Date].[All]" dimensionUniqueName="[Range]" displayFolder="" count="0" memberValueDatatype="7" unbalanced="0"/>
    <cacheHierarchy uniqueName="[Range].[Merchant_Category]" caption="Merchant_Category" attribute="1" defaultMemberUniqueName="[Range].[Merchant_Category].[All]" allUniqueName="[Range].[Merchant_Category].[All]" dimensionUniqueName="[Range]" displayFolder="" count="0" memberValueDatatype="130" unbalanced="0"/>
    <cacheHierarchy uniqueName="[Range].[Merchant_Region]" caption="Merchant_Region" attribute="1" defaultMemberUniqueName="[Range].[Merchant_Region].[All]" allUniqueName="[Range].[Merchant_Region].[All]" dimensionUniqueName="[Range]" displayFolder="" count="0" memberValueDatatype="130" unbalanced="0"/>
    <cacheHierarchy uniqueName="[Range].[MDR FEE RATE]" caption="MDR FEE RATE" attribute="1" defaultMemberUniqueName="[Range].[MDR FEE RATE].[All]" allUniqueName="[Range].[MDR FEE RATE].[All]" dimensionUniqueName="[Range]" displayFolder="" count="0" memberValueDatatype="5" unbalanced="0"/>
    <cacheHierarchy uniqueName="[Range].[High-Value Merchant Day]" caption="High-Value Merchant Day" attribute="1" defaultMemberUniqueName="[Range].[High-Value Merchant Day].[All]" allUniqueName="[Range].[High-Value Merchant Da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rchant_id]" caption="Sum of merchant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ansaction_id]" caption="Count of transaction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user_id]" caption="Varp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user_id]" caption="Distinct Count of us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x v="0"/>
    <n v="350"/>
    <x v="0"/>
    <x v="0"/>
    <n v="2999"/>
    <s v="Wallet"/>
    <x v="0"/>
    <n v="85"/>
    <d v="2025-10-23T00:00:00"/>
    <x v="0"/>
    <s v="West"/>
    <n v="1.2E-2"/>
    <s v="Normal Day"/>
  </r>
  <r>
    <x v="1"/>
    <n v="287"/>
    <x v="1"/>
    <x v="1"/>
    <n v="49"/>
    <s v="UPI"/>
    <x v="0"/>
    <n v="79"/>
    <d v="2024-11-19T00:00:00"/>
    <x v="1"/>
    <s v="North"/>
    <n v="0"/>
    <s v="Normal Day"/>
  </r>
  <r>
    <x v="2"/>
    <n v="122"/>
    <x v="2"/>
    <x v="2"/>
    <n v="1499"/>
    <s v="Wallet"/>
    <x v="0"/>
    <n v="22"/>
    <d v="2024-01-15T00:00:00"/>
    <x v="1"/>
    <s v="North"/>
    <n v="1.2E-2"/>
    <s v="Normal Day"/>
  </r>
  <r>
    <x v="3"/>
    <n v="92"/>
    <x v="3"/>
    <x v="3"/>
    <n v="49"/>
    <s v="Netbanking"/>
    <x v="0"/>
    <n v="100"/>
    <d v="2025-01-05T00:00:00"/>
    <x v="2"/>
    <s v="South"/>
    <n v="1.4999999999999999E-2"/>
    <s v="Normal Day"/>
  </r>
  <r>
    <x v="4"/>
    <n v="343"/>
    <x v="0"/>
    <x v="4"/>
    <n v="99"/>
    <s v="UPI"/>
    <x v="0"/>
    <n v="34"/>
    <d v="2024-05-16T00:00:00"/>
    <x v="0"/>
    <s v="West"/>
    <n v="0"/>
    <s v="Normal Day"/>
  </r>
  <r>
    <x v="5"/>
    <n v="196"/>
    <x v="4"/>
    <x v="5"/>
    <n v="99"/>
    <s v="UPI"/>
    <x v="0"/>
    <n v="60"/>
    <d v="2024-02-04T00:00:00"/>
    <x v="3"/>
    <s v="East"/>
    <n v="0"/>
    <s v="Normal Day"/>
  </r>
  <r>
    <x v="6"/>
    <n v="236"/>
    <x v="5"/>
    <x v="6"/>
    <n v="99"/>
    <s v="Wallet"/>
    <x v="0"/>
    <n v="39"/>
    <d v="2024-06-30T00:00:00"/>
    <x v="2"/>
    <s v="North"/>
    <n v="1.2E-2"/>
    <s v="Normal Day"/>
  </r>
  <r>
    <x v="7"/>
    <n v="13"/>
    <x v="6"/>
    <x v="7"/>
    <n v="99"/>
    <s v="UPI"/>
    <x v="0"/>
    <n v="51"/>
    <d v="2025-10-31T00:00:00"/>
    <x v="2"/>
    <s v="East"/>
    <n v="0"/>
    <s v="Normal Day"/>
  </r>
  <r>
    <x v="8"/>
    <n v="36"/>
    <x v="7"/>
    <x v="8"/>
    <n v="799"/>
    <s v="UPI"/>
    <x v="0"/>
    <n v="44"/>
    <d v="2024-04-14T00:00:00"/>
    <x v="3"/>
    <s v="West"/>
    <n v="0"/>
    <s v="Normal Day"/>
  </r>
  <r>
    <x v="9"/>
    <n v="348"/>
    <x v="8"/>
    <x v="9"/>
    <n v="299"/>
    <s v="UPI"/>
    <x v="0"/>
    <n v="42"/>
    <d v="2025-01-21T00:00:00"/>
    <x v="4"/>
    <s v="East"/>
    <n v="0"/>
    <s v="Normal Day"/>
  </r>
  <r>
    <x v="10"/>
    <n v="134"/>
    <x v="9"/>
    <x v="10"/>
    <n v="49"/>
    <s v="UPI"/>
    <x v="0"/>
    <n v="74"/>
    <d v="2024-04-09T00:00:00"/>
    <x v="1"/>
    <s v="East"/>
    <n v="0"/>
    <s v="Normal Day"/>
  </r>
  <r>
    <x v="11"/>
    <n v="306"/>
    <x v="10"/>
    <x v="11"/>
    <n v="2999"/>
    <s v="Card"/>
    <x v="1"/>
    <n v="44"/>
    <d v="2024-05-15T00:00:00"/>
    <x v="1"/>
    <s v="South"/>
    <n v="0.02"/>
    <s v="Normal Day"/>
  </r>
  <r>
    <x v="12"/>
    <n v="311"/>
    <x v="11"/>
    <x v="12"/>
    <n v="49"/>
    <s v="Wallet"/>
    <x v="0"/>
    <n v="14"/>
    <d v="2025-05-01T00:00:00"/>
    <x v="0"/>
    <s v="East"/>
    <n v="1.2E-2"/>
    <s v="Normal Day"/>
  </r>
  <r>
    <x v="13"/>
    <n v="131"/>
    <x v="4"/>
    <x v="13"/>
    <n v="49"/>
    <s v="UPI"/>
    <x v="0"/>
    <n v="90"/>
    <d v="2025-09-28T00:00:00"/>
    <x v="3"/>
    <s v="East"/>
    <n v="0"/>
    <s v="Normal Day"/>
  </r>
  <r>
    <x v="14"/>
    <n v="276"/>
    <x v="6"/>
    <x v="14"/>
    <n v="1499"/>
    <s v="UPI"/>
    <x v="0"/>
    <n v="46"/>
    <d v="2024-05-05T00:00:00"/>
    <x v="2"/>
    <s v="East"/>
    <n v="0"/>
    <s v="Normal Day"/>
  </r>
  <r>
    <x v="15"/>
    <n v="170"/>
    <x v="12"/>
    <x v="15"/>
    <n v="99"/>
    <s v="UPI"/>
    <x v="0"/>
    <n v="40"/>
    <d v="2024-08-11T00:00:00"/>
    <x v="5"/>
    <s v="South"/>
    <n v="0"/>
    <s v="Normal Day"/>
  </r>
  <r>
    <x v="16"/>
    <n v="154"/>
    <x v="11"/>
    <x v="16"/>
    <n v="99"/>
    <s v="Netbanking"/>
    <x v="0"/>
    <n v="39"/>
    <d v="2024-05-29T00:00:00"/>
    <x v="0"/>
    <s v="East"/>
    <n v="1.4999999999999999E-2"/>
    <s v="Normal Day"/>
  </r>
  <r>
    <x v="17"/>
    <n v="207"/>
    <x v="13"/>
    <x v="17"/>
    <n v="2999"/>
    <s v="Card"/>
    <x v="0"/>
    <n v="70"/>
    <d v="2025-10-03T00:00:00"/>
    <x v="3"/>
    <s v="North"/>
    <n v="0.02"/>
    <s v="Normal Day"/>
  </r>
  <r>
    <x v="18"/>
    <n v="341"/>
    <x v="14"/>
    <x v="18"/>
    <n v="2999"/>
    <s v="UPI"/>
    <x v="0"/>
    <n v="86"/>
    <d v="2024-11-19T00:00:00"/>
    <x v="2"/>
    <s v="South"/>
    <n v="0"/>
    <s v="Normal Day"/>
  </r>
  <r>
    <x v="19"/>
    <n v="292"/>
    <x v="15"/>
    <x v="19"/>
    <n v="49"/>
    <s v="UPI"/>
    <x v="0"/>
    <n v="51"/>
    <d v="2025-01-27T00:00:00"/>
    <x v="6"/>
    <s v="East"/>
    <n v="0"/>
    <s v="Normal Day"/>
  </r>
  <r>
    <x v="20"/>
    <n v="147"/>
    <x v="16"/>
    <x v="20"/>
    <n v="99"/>
    <s v="Card"/>
    <x v="0"/>
    <n v="55"/>
    <d v="2025-09-21T00:00:00"/>
    <x v="3"/>
    <s v="East"/>
    <n v="0.02"/>
    <s v="Normal Day"/>
  </r>
  <r>
    <x v="21"/>
    <n v="336"/>
    <x v="17"/>
    <x v="21"/>
    <n v="99"/>
    <s v="UPI"/>
    <x v="0"/>
    <n v="59"/>
    <d v="2025-08-10T00:00:00"/>
    <x v="6"/>
    <s v="East"/>
    <n v="0"/>
    <s v="Normal Day"/>
  </r>
  <r>
    <x v="22"/>
    <n v="110"/>
    <x v="11"/>
    <x v="22"/>
    <n v="799"/>
    <s v="UPI"/>
    <x v="0"/>
    <n v="60"/>
    <d v="2024-08-03T00:00:00"/>
    <x v="0"/>
    <s v="East"/>
    <n v="0"/>
    <s v="Normal Day"/>
  </r>
  <r>
    <x v="23"/>
    <n v="338"/>
    <x v="18"/>
    <x v="23"/>
    <n v="799"/>
    <s v="UPI"/>
    <x v="2"/>
    <n v="36"/>
    <d v="2025-07-03T00:00:00"/>
    <x v="6"/>
    <s v="South"/>
    <n v="0"/>
    <s v="Normal Day"/>
  </r>
  <r>
    <x v="24"/>
    <n v="318"/>
    <x v="3"/>
    <x v="24"/>
    <n v="799"/>
    <s v="Wallet"/>
    <x v="0"/>
    <n v="11"/>
    <d v="2025-03-20T00:00:00"/>
    <x v="2"/>
    <s v="South"/>
    <n v="1.2E-2"/>
    <s v="Normal Day"/>
  </r>
  <r>
    <x v="25"/>
    <n v="159"/>
    <x v="19"/>
    <x v="25"/>
    <n v="799"/>
    <s v="UPI"/>
    <x v="0"/>
    <n v="25"/>
    <d v="2025-03-29T00:00:00"/>
    <x v="2"/>
    <s v="North"/>
    <n v="0"/>
    <s v="Normal Day"/>
  </r>
  <r>
    <x v="26"/>
    <n v="126"/>
    <x v="20"/>
    <x v="26"/>
    <n v="49"/>
    <s v="Card"/>
    <x v="0"/>
    <n v="78"/>
    <d v="2024-06-21T00:00:00"/>
    <x v="0"/>
    <s v="East"/>
    <n v="0.02"/>
    <s v="Normal Day"/>
  </r>
  <r>
    <x v="27"/>
    <n v="213"/>
    <x v="21"/>
    <x v="27"/>
    <n v="99"/>
    <s v="UPI"/>
    <x v="0"/>
    <n v="24"/>
    <d v="2024-08-24T00:00:00"/>
    <x v="5"/>
    <s v="South"/>
    <n v="0"/>
    <s v="Normal Day"/>
  </r>
  <r>
    <x v="28"/>
    <n v="254"/>
    <x v="22"/>
    <x v="28"/>
    <n v="99"/>
    <s v="Wallet"/>
    <x v="0"/>
    <n v="31"/>
    <d v="2024-01-29T00:00:00"/>
    <x v="6"/>
    <s v="East"/>
    <n v="1.2E-2"/>
    <s v="Normal Day"/>
  </r>
  <r>
    <x v="29"/>
    <n v="3"/>
    <x v="23"/>
    <x v="29"/>
    <n v="1499"/>
    <s v="UPI"/>
    <x v="0"/>
    <n v="99"/>
    <d v="2025-06-18T00:00:00"/>
    <x v="6"/>
    <s v="East"/>
    <n v="0"/>
    <s v="Normal Day"/>
  </r>
  <r>
    <x v="30"/>
    <n v="266"/>
    <x v="24"/>
    <x v="30"/>
    <n v="499"/>
    <s v="Card"/>
    <x v="0"/>
    <n v="6"/>
    <d v="2025-07-21T00:00:00"/>
    <x v="2"/>
    <s v="West"/>
    <n v="0.02"/>
    <s v="Normal Day"/>
  </r>
  <r>
    <x v="31"/>
    <n v="63"/>
    <x v="24"/>
    <x v="31"/>
    <n v="799"/>
    <s v="UPI"/>
    <x v="0"/>
    <n v="17"/>
    <d v="2024-01-04T00:00:00"/>
    <x v="2"/>
    <s v="West"/>
    <n v="0"/>
    <s v="Normal Day"/>
  </r>
  <r>
    <x v="32"/>
    <n v="272"/>
    <x v="25"/>
    <x v="32"/>
    <n v="149"/>
    <s v="UPI"/>
    <x v="0"/>
    <n v="76"/>
    <d v="2025-09-19T00:00:00"/>
    <x v="5"/>
    <s v="East"/>
    <n v="0"/>
    <s v="Normal Day"/>
  </r>
  <r>
    <x v="33"/>
    <n v="259"/>
    <x v="10"/>
    <x v="33"/>
    <n v="49"/>
    <s v="Wallet"/>
    <x v="0"/>
    <n v="70"/>
    <d v="2025-03-10T00:00:00"/>
    <x v="1"/>
    <s v="South"/>
    <n v="1.2E-2"/>
    <s v="Normal Day"/>
  </r>
  <r>
    <x v="34"/>
    <n v="244"/>
    <x v="26"/>
    <x v="34"/>
    <n v="299"/>
    <s v="Netbanking"/>
    <x v="0"/>
    <n v="33"/>
    <d v="2024-10-15T00:00:00"/>
    <x v="1"/>
    <s v="North"/>
    <n v="1.4999999999999999E-2"/>
    <s v="Normal Day"/>
  </r>
  <r>
    <x v="35"/>
    <n v="327"/>
    <x v="7"/>
    <x v="35"/>
    <n v="149"/>
    <s v="Card"/>
    <x v="0"/>
    <n v="98"/>
    <d v="2025-07-22T00:00:00"/>
    <x v="3"/>
    <s v="West"/>
    <n v="0.02"/>
    <s v="Normal Day"/>
  </r>
  <r>
    <x v="36"/>
    <n v="321"/>
    <x v="0"/>
    <x v="36"/>
    <n v="49"/>
    <s v="UPI"/>
    <x v="0"/>
    <n v="35"/>
    <d v="2024-02-22T00:00:00"/>
    <x v="0"/>
    <s v="West"/>
    <n v="0"/>
    <s v="Normal Day"/>
  </r>
  <r>
    <x v="37"/>
    <n v="147"/>
    <x v="0"/>
    <x v="37"/>
    <n v="2999"/>
    <s v="Card"/>
    <x v="0"/>
    <n v="34"/>
    <d v="2025-09-21T00:00:00"/>
    <x v="0"/>
    <s v="West"/>
    <n v="0.02"/>
    <s v="Normal Day"/>
  </r>
  <r>
    <x v="38"/>
    <n v="277"/>
    <x v="18"/>
    <x v="38"/>
    <n v="1499"/>
    <s v="Card"/>
    <x v="0"/>
    <n v="17"/>
    <d v="2025-08-22T00:00:00"/>
    <x v="6"/>
    <s v="South"/>
    <n v="0.02"/>
    <s v="Normal Day"/>
  </r>
  <r>
    <x v="39"/>
    <n v="79"/>
    <x v="16"/>
    <x v="39"/>
    <n v="1499"/>
    <s v="UPI"/>
    <x v="0"/>
    <n v="8"/>
    <d v="2024-03-02T00:00:00"/>
    <x v="3"/>
    <s v="East"/>
    <n v="0"/>
    <s v="Normal Day"/>
  </r>
  <r>
    <x v="40"/>
    <n v="278"/>
    <x v="24"/>
    <x v="40"/>
    <n v="1499"/>
    <s v="UPI"/>
    <x v="0"/>
    <n v="53"/>
    <d v="2025-09-18T00:00:00"/>
    <x v="2"/>
    <s v="West"/>
    <n v="0"/>
    <s v="Normal Day"/>
  </r>
  <r>
    <x v="41"/>
    <n v="216"/>
    <x v="14"/>
    <x v="41"/>
    <n v="99"/>
    <s v="UPI"/>
    <x v="0"/>
    <n v="98"/>
    <d v="2024-05-12T00:00:00"/>
    <x v="2"/>
    <s v="South"/>
    <n v="0"/>
    <s v="Normal Day"/>
  </r>
  <r>
    <x v="42"/>
    <n v="295"/>
    <x v="14"/>
    <x v="42"/>
    <n v="1499"/>
    <s v="UPI"/>
    <x v="0"/>
    <n v="61"/>
    <d v="2024-06-09T00:00:00"/>
    <x v="2"/>
    <s v="South"/>
    <n v="0"/>
    <s v="Normal Day"/>
  </r>
  <r>
    <x v="43"/>
    <n v="200"/>
    <x v="1"/>
    <x v="43"/>
    <n v="149"/>
    <s v="UPI"/>
    <x v="0"/>
    <n v="68"/>
    <d v="2025-04-04T00:00:00"/>
    <x v="1"/>
    <s v="North"/>
    <n v="0"/>
    <s v="Normal Day"/>
  </r>
  <r>
    <x v="44"/>
    <n v="309"/>
    <x v="19"/>
    <x v="44"/>
    <n v="99"/>
    <s v="Netbanking"/>
    <x v="0"/>
    <n v="62"/>
    <d v="2025-02-17T00:00:00"/>
    <x v="2"/>
    <s v="North"/>
    <n v="1.4999999999999999E-2"/>
    <s v="Normal Day"/>
  </r>
  <r>
    <x v="45"/>
    <n v="249"/>
    <x v="27"/>
    <x v="45"/>
    <n v="299"/>
    <s v="Wallet"/>
    <x v="0"/>
    <n v="49"/>
    <d v="2024-04-03T00:00:00"/>
    <x v="3"/>
    <s v="West"/>
    <n v="1.2E-2"/>
    <s v="Normal Day"/>
  </r>
  <r>
    <x v="46"/>
    <n v="208"/>
    <x v="2"/>
    <x v="46"/>
    <n v="4999"/>
    <s v="Netbanking"/>
    <x v="0"/>
    <n v="59"/>
    <d v="2025-06-17T00:00:00"/>
    <x v="1"/>
    <s v="North"/>
    <n v="1.4999999999999999E-2"/>
    <s v="Normal Day"/>
  </r>
  <r>
    <x v="47"/>
    <n v="274"/>
    <x v="27"/>
    <x v="47"/>
    <n v="299"/>
    <s v="UPI"/>
    <x v="0"/>
    <n v="50"/>
    <d v="2024-08-20T00:00:00"/>
    <x v="3"/>
    <s v="West"/>
    <n v="0"/>
    <s v="Normal Day"/>
  </r>
  <r>
    <x v="48"/>
    <n v="14"/>
    <x v="18"/>
    <x v="48"/>
    <n v="49"/>
    <s v="Wallet"/>
    <x v="0"/>
    <n v="82"/>
    <d v="2025-01-13T00:00:00"/>
    <x v="6"/>
    <s v="South"/>
    <n v="1.2E-2"/>
    <s v="Normal Day"/>
  </r>
  <r>
    <x v="49"/>
    <n v="237"/>
    <x v="9"/>
    <x v="49"/>
    <n v="49"/>
    <s v="UPI"/>
    <x v="0"/>
    <n v="6"/>
    <d v="2025-09-11T00:00:00"/>
    <x v="1"/>
    <s v="East"/>
    <n v="0"/>
    <s v="Normal Day"/>
  </r>
  <r>
    <x v="50"/>
    <n v="109"/>
    <x v="24"/>
    <x v="50"/>
    <n v="99"/>
    <s v="UPI"/>
    <x v="0"/>
    <n v="41"/>
    <d v="2024-01-27T00:00:00"/>
    <x v="2"/>
    <s v="West"/>
    <n v="0"/>
    <s v="Normal Day"/>
  </r>
  <r>
    <x v="51"/>
    <n v="216"/>
    <x v="28"/>
    <x v="51"/>
    <n v="4999"/>
    <s v="UPI"/>
    <x v="0"/>
    <n v="10"/>
    <d v="2024-05-12T00:00:00"/>
    <x v="3"/>
    <s v="North"/>
    <n v="0"/>
    <s v="Normal Day"/>
  </r>
  <r>
    <x v="52"/>
    <n v="277"/>
    <x v="29"/>
    <x v="52"/>
    <n v="799"/>
    <s v="UPI"/>
    <x v="0"/>
    <n v="44"/>
    <d v="2025-08-22T00:00:00"/>
    <x v="1"/>
    <s v="East"/>
    <n v="0"/>
    <s v="Normal Day"/>
  </r>
  <r>
    <x v="53"/>
    <n v="334"/>
    <x v="4"/>
    <x v="53"/>
    <n v="149"/>
    <s v="Wallet"/>
    <x v="0"/>
    <n v="96"/>
    <d v="2024-05-07T00:00:00"/>
    <x v="3"/>
    <s v="East"/>
    <n v="1.2E-2"/>
    <s v="Normal Day"/>
  </r>
  <r>
    <x v="54"/>
    <n v="11"/>
    <x v="12"/>
    <x v="54"/>
    <n v="299"/>
    <s v="UPI"/>
    <x v="0"/>
    <n v="19"/>
    <d v="2025-10-06T00:00:00"/>
    <x v="5"/>
    <s v="South"/>
    <n v="0"/>
    <s v="Normal Day"/>
  </r>
  <r>
    <x v="55"/>
    <n v="343"/>
    <x v="30"/>
    <x v="55"/>
    <n v="99"/>
    <s v="UPI"/>
    <x v="0"/>
    <n v="72"/>
    <d v="2024-05-16T00:00:00"/>
    <x v="6"/>
    <s v="North"/>
    <n v="0"/>
    <s v="Normal Day"/>
  </r>
  <r>
    <x v="56"/>
    <n v="132"/>
    <x v="31"/>
    <x v="56"/>
    <n v="299"/>
    <s v="Wallet"/>
    <x v="0"/>
    <n v="21"/>
    <d v="2024-12-21T00:00:00"/>
    <x v="3"/>
    <s v="North"/>
    <n v="1.2E-2"/>
    <s v="Normal Day"/>
  </r>
  <r>
    <x v="57"/>
    <n v="59"/>
    <x v="2"/>
    <x v="57"/>
    <n v="299"/>
    <s v="UPI"/>
    <x v="0"/>
    <n v="39"/>
    <d v="2024-05-15T00:00:00"/>
    <x v="1"/>
    <s v="North"/>
    <n v="0"/>
    <s v="Normal Day"/>
  </r>
  <r>
    <x v="58"/>
    <n v="160"/>
    <x v="21"/>
    <x v="58"/>
    <n v="49"/>
    <s v="Wallet"/>
    <x v="0"/>
    <n v="86"/>
    <d v="2024-08-05T00:00:00"/>
    <x v="5"/>
    <s v="South"/>
    <n v="1.2E-2"/>
    <s v="Normal Day"/>
  </r>
  <r>
    <x v="59"/>
    <n v="102"/>
    <x v="32"/>
    <x v="59"/>
    <n v="2999"/>
    <s v="UPI"/>
    <x v="0"/>
    <n v="75"/>
    <d v="2025-09-13T00:00:00"/>
    <x v="4"/>
    <s v="South"/>
    <n v="0"/>
    <s v="Normal Day"/>
  </r>
  <r>
    <x v="60"/>
    <n v="53"/>
    <x v="15"/>
    <x v="60"/>
    <n v="49"/>
    <s v="Netbanking"/>
    <x v="0"/>
    <n v="87"/>
    <d v="2024-11-03T00:00:00"/>
    <x v="6"/>
    <s v="East"/>
    <n v="1.4999999999999999E-2"/>
    <s v="Normal Day"/>
  </r>
  <r>
    <x v="61"/>
    <n v="290"/>
    <x v="4"/>
    <x v="61"/>
    <n v="99"/>
    <s v="Wallet"/>
    <x v="0"/>
    <n v="44"/>
    <d v="2024-09-10T00:00:00"/>
    <x v="3"/>
    <s v="East"/>
    <n v="1.2E-2"/>
    <s v="Normal Day"/>
  </r>
  <r>
    <x v="62"/>
    <n v="190"/>
    <x v="32"/>
    <x v="62"/>
    <n v="299"/>
    <s v="UPI"/>
    <x v="0"/>
    <n v="64"/>
    <d v="2025-03-22T00:00:00"/>
    <x v="4"/>
    <s v="South"/>
    <n v="0"/>
    <s v="Normal Day"/>
  </r>
  <r>
    <x v="63"/>
    <n v="216"/>
    <x v="33"/>
    <x v="63"/>
    <n v="49"/>
    <s v="Card"/>
    <x v="0"/>
    <n v="13"/>
    <d v="2024-05-12T00:00:00"/>
    <x v="6"/>
    <s v="West"/>
    <n v="0.02"/>
    <s v="Normal Day"/>
  </r>
  <r>
    <x v="64"/>
    <n v="236"/>
    <x v="34"/>
    <x v="64"/>
    <n v="499"/>
    <s v="UPI"/>
    <x v="0"/>
    <n v="55"/>
    <d v="2024-06-30T00:00:00"/>
    <x v="3"/>
    <s v="West"/>
    <n v="0"/>
    <s v="Normal Day"/>
  </r>
  <r>
    <x v="65"/>
    <n v="334"/>
    <x v="7"/>
    <x v="65"/>
    <n v="499"/>
    <s v="Card"/>
    <x v="0"/>
    <n v="78"/>
    <d v="2024-05-07T00:00:00"/>
    <x v="3"/>
    <s v="West"/>
    <n v="0.02"/>
    <s v="Normal Day"/>
  </r>
  <r>
    <x v="66"/>
    <n v="248"/>
    <x v="24"/>
    <x v="66"/>
    <n v="799"/>
    <s v="Wallet"/>
    <x v="0"/>
    <n v="55"/>
    <d v="2024-04-19T00:00:00"/>
    <x v="2"/>
    <s v="West"/>
    <n v="1.2E-2"/>
    <s v="Normal Day"/>
  </r>
  <r>
    <x v="67"/>
    <n v="138"/>
    <x v="17"/>
    <x v="67"/>
    <n v="49"/>
    <s v="Card"/>
    <x v="0"/>
    <n v="31"/>
    <d v="2025-04-21T00:00:00"/>
    <x v="6"/>
    <s v="East"/>
    <n v="0.02"/>
    <s v="Normal Day"/>
  </r>
  <r>
    <x v="68"/>
    <n v="231"/>
    <x v="0"/>
    <x v="68"/>
    <n v="49"/>
    <s v="UPI"/>
    <x v="0"/>
    <n v="96"/>
    <d v="2024-08-01T00:00:00"/>
    <x v="0"/>
    <s v="West"/>
    <n v="0"/>
    <s v="Normal Day"/>
  </r>
  <r>
    <x v="69"/>
    <n v="343"/>
    <x v="14"/>
    <x v="69"/>
    <n v="49"/>
    <s v="UPI"/>
    <x v="0"/>
    <n v="43"/>
    <d v="2024-05-16T00:00:00"/>
    <x v="2"/>
    <s v="South"/>
    <n v="0"/>
    <s v="Normal Day"/>
  </r>
  <r>
    <x v="70"/>
    <n v="167"/>
    <x v="9"/>
    <x v="70"/>
    <n v="499"/>
    <s v="Wallet"/>
    <x v="0"/>
    <n v="62"/>
    <d v="2024-12-05T00:00:00"/>
    <x v="1"/>
    <s v="East"/>
    <n v="1.2E-2"/>
    <s v="Normal Day"/>
  </r>
  <r>
    <x v="71"/>
    <n v="133"/>
    <x v="3"/>
    <x v="71"/>
    <n v="499"/>
    <s v="UPI"/>
    <x v="0"/>
    <n v="35"/>
    <d v="2025-11-11T00:00:00"/>
    <x v="2"/>
    <s v="South"/>
    <n v="0"/>
    <s v="Normal Day"/>
  </r>
  <r>
    <x v="72"/>
    <n v="142"/>
    <x v="25"/>
    <x v="72"/>
    <n v="799"/>
    <s v="Wallet"/>
    <x v="0"/>
    <n v="1"/>
    <d v="2025-10-03T00:00:00"/>
    <x v="5"/>
    <s v="East"/>
    <n v="1.2E-2"/>
    <s v="Normal Day"/>
  </r>
  <r>
    <x v="73"/>
    <n v="124"/>
    <x v="1"/>
    <x v="73"/>
    <n v="499"/>
    <s v="Wallet"/>
    <x v="0"/>
    <n v="62"/>
    <d v="2024-11-15T00:00:00"/>
    <x v="1"/>
    <s v="North"/>
    <n v="1.2E-2"/>
    <s v="Normal Day"/>
  </r>
  <r>
    <x v="74"/>
    <n v="244"/>
    <x v="33"/>
    <x v="74"/>
    <n v="149"/>
    <s v="UPI"/>
    <x v="0"/>
    <n v="57"/>
    <d v="2024-10-15T00:00:00"/>
    <x v="6"/>
    <s v="West"/>
    <n v="0"/>
    <s v="Normal Day"/>
  </r>
  <r>
    <x v="75"/>
    <n v="151"/>
    <x v="19"/>
    <x v="75"/>
    <n v="4999"/>
    <s v="UPI"/>
    <x v="0"/>
    <n v="51"/>
    <d v="2024-01-17T00:00:00"/>
    <x v="2"/>
    <s v="North"/>
    <n v="0"/>
    <s v="Normal Day"/>
  </r>
  <r>
    <x v="76"/>
    <n v="340"/>
    <x v="35"/>
    <x v="76"/>
    <n v="499"/>
    <s v="Card"/>
    <x v="0"/>
    <n v="47"/>
    <d v="2025-10-27T00:00:00"/>
    <x v="3"/>
    <s v="East"/>
    <n v="0.02"/>
    <s v="Normal Day"/>
  </r>
  <r>
    <x v="77"/>
    <n v="177"/>
    <x v="10"/>
    <x v="77"/>
    <n v="299"/>
    <s v="UPI"/>
    <x v="0"/>
    <n v="95"/>
    <d v="2024-10-16T00:00:00"/>
    <x v="1"/>
    <s v="South"/>
    <n v="0"/>
    <s v="Normal Day"/>
  </r>
  <r>
    <x v="78"/>
    <n v="233"/>
    <x v="7"/>
    <x v="78"/>
    <n v="499"/>
    <s v="UPI"/>
    <x v="0"/>
    <n v="39"/>
    <d v="2024-06-07T00:00:00"/>
    <x v="3"/>
    <s v="West"/>
    <n v="0"/>
    <s v="Normal Day"/>
  </r>
  <r>
    <x v="79"/>
    <n v="99"/>
    <x v="17"/>
    <x v="79"/>
    <n v="499"/>
    <s v="UPI"/>
    <x v="0"/>
    <n v="15"/>
    <d v="2025-10-04T00:00:00"/>
    <x v="6"/>
    <s v="East"/>
    <n v="0"/>
    <s v="Normal Day"/>
  </r>
  <r>
    <x v="80"/>
    <n v="95"/>
    <x v="6"/>
    <x v="80"/>
    <n v="2999"/>
    <s v="Netbanking"/>
    <x v="1"/>
    <n v="27"/>
    <d v="2025-08-10T00:00:00"/>
    <x v="2"/>
    <s v="East"/>
    <n v="1.4999999999999999E-2"/>
    <s v="Normal Day"/>
  </r>
  <r>
    <x v="81"/>
    <n v="302"/>
    <x v="36"/>
    <x v="81"/>
    <n v="49"/>
    <s v="Netbanking"/>
    <x v="0"/>
    <n v="76"/>
    <d v="2025-07-18T00:00:00"/>
    <x v="2"/>
    <s v="South"/>
    <n v="1.4999999999999999E-2"/>
    <s v="Normal Day"/>
  </r>
  <r>
    <x v="82"/>
    <n v="100"/>
    <x v="13"/>
    <x v="82"/>
    <n v="2999"/>
    <s v="Netbanking"/>
    <x v="0"/>
    <n v="29"/>
    <d v="2025-03-31T00:00:00"/>
    <x v="3"/>
    <s v="North"/>
    <n v="1.4999999999999999E-2"/>
    <s v="Normal Day"/>
  </r>
  <r>
    <x v="83"/>
    <n v="8"/>
    <x v="8"/>
    <x v="83"/>
    <n v="99"/>
    <s v="UPI"/>
    <x v="0"/>
    <n v="16"/>
    <d v="2024-05-11T00:00:00"/>
    <x v="4"/>
    <s v="East"/>
    <n v="0"/>
    <s v="Normal Day"/>
  </r>
  <r>
    <x v="84"/>
    <n v="284"/>
    <x v="13"/>
    <x v="84"/>
    <n v="99"/>
    <s v="UPI"/>
    <x v="0"/>
    <n v="89"/>
    <d v="2024-12-10T00:00:00"/>
    <x v="3"/>
    <s v="North"/>
    <n v="0"/>
    <s v="Normal Day"/>
  </r>
  <r>
    <x v="85"/>
    <n v="252"/>
    <x v="23"/>
    <x v="85"/>
    <n v="2999"/>
    <s v="Wallet"/>
    <x v="0"/>
    <n v="1"/>
    <d v="2025-09-10T00:00:00"/>
    <x v="6"/>
    <s v="East"/>
    <n v="1.2E-2"/>
    <s v="Normal Day"/>
  </r>
  <r>
    <x v="86"/>
    <n v="246"/>
    <x v="26"/>
    <x v="86"/>
    <n v="49"/>
    <s v="Wallet"/>
    <x v="0"/>
    <n v="43"/>
    <d v="2024-04-28T00:00:00"/>
    <x v="1"/>
    <s v="North"/>
    <n v="1.2E-2"/>
    <s v="Normal Day"/>
  </r>
  <r>
    <x v="87"/>
    <n v="245"/>
    <x v="30"/>
    <x v="87"/>
    <n v="49"/>
    <s v="UPI"/>
    <x v="2"/>
    <n v="8"/>
    <d v="2025-08-02T00:00:00"/>
    <x v="6"/>
    <s v="North"/>
    <n v="0"/>
    <s v="Normal Day"/>
  </r>
  <r>
    <x v="88"/>
    <n v="296"/>
    <x v="29"/>
    <x v="88"/>
    <n v="799"/>
    <s v="Wallet"/>
    <x v="0"/>
    <n v="19"/>
    <d v="2025-11-24T00:00:00"/>
    <x v="1"/>
    <s v="East"/>
    <n v="1.2E-2"/>
    <s v="Normal Day"/>
  </r>
  <r>
    <x v="89"/>
    <n v="44"/>
    <x v="0"/>
    <x v="89"/>
    <n v="149"/>
    <s v="UPI"/>
    <x v="0"/>
    <n v="15"/>
    <d v="2025-10-15T00:00:00"/>
    <x v="0"/>
    <s v="West"/>
    <n v="0"/>
    <s v="Normal Day"/>
  </r>
  <r>
    <x v="90"/>
    <n v="306"/>
    <x v="12"/>
    <x v="90"/>
    <n v="799"/>
    <s v="Card"/>
    <x v="0"/>
    <n v="28"/>
    <d v="2024-05-15T00:00:00"/>
    <x v="5"/>
    <s v="South"/>
    <n v="0.02"/>
    <s v="Normal Day"/>
  </r>
  <r>
    <x v="91"/>
    <n v="231"/>
    <x v="26"/>
    <x v="91"/>
    <n v="299"/>
    <s v="UPI"/>
    <x v="0"/>
    <n v="38"/>
    <d v="2024-08-01T00:00:00"/>
    <x v="1"/>
    <s v="North"/>
    <n v="0"/>
    <s v="Normal Day"/>
  </r>
  <r>
    <x v="92"/>
    <n v="157"/>
    <x v="21"/>
    <x v="92"/>
    <n v="499"/>
    <s v="Wallet"/>
    <x v="0"/>
    <n v="79"/>
    <d v="2024-04-21T00:00:00"/>
    <x v="5"/>
    <s v="South"/>
    <n v="1.2E-2"/>
    <s v="Normal Day"/>
  </r>
  <r>
    <x v="93"/>
    <n v="51"/>
    <x v="16"/>
    <x v="93"/>
    <n v="1499"/>
    <s v="UPI"/>
    <x v="0"/>
    <n v="80"/>
    <d v="2024-04-01T00:00:00"/>
    <x v="3"/>
    <s v="East"/>
    <n v="0"/>
    <s v="Normal Day"/>
  </r>
  <r>
    <x v="94"/>
    <n v="42"/>
    <x v="2"/>
    <x v="94"/>
    <n v="49"/>
    <s v="Wallet"/>
    <x v="0"/>
    <n v="30"/>
    <d v="2024-07-15T00:00:00"/>
    <x v="1"/>
    <s v="North"/>
    <n v="1.2E-2"/>
    <s v="Normal Day"/>
  </r>
  <r>
    <x v="95"/>
    <n v="81"/>
    <x v="37"/>
    <x v="95"/>
    <n v="149"/>
    <s v="UPI"/>
    <x v="0"/>
    <n v="52"/>
    <d v="2024-02-17T00:00:00"/>
    <x v="1"/>
    <s v="South"/>
    <n v="0"/>
    <s v="Normal Day"/>
  </r>
  <r>
    <x v="96"/>
    <n v="241"/>
    <x v="13"/>
    <x v="96"/>
    <n v="299"/>
    <s v="UPI"/>
    <x v="0"/>
    <n v="4"/>
    <d v="2025-09-24T00:00:00"/>
    <x v="3"/>
    <s v="North"/>
    <n v="0"/>
    <s v="Normal Day"/>
  </r>
  <r>
    <x v="97"/>
    <n v="145"/>
    <x v="24"/>
    <x v="97"/>
    <n v="799"/>
    <s v="UPI"/>
    <x v="0"/>
    <n v="9"/>
    <d v="2025-10-31T00:00:00"/>
    <x v="2"/>
    <s v="West"/>
    <n v="0"/>
    <s v="Normal Day"/>
  </r>
  <r>
    <x v="98"/>
    <n v="136"/>
    <x v="35"/>
    <x v="98"/>
    <n v="299"/>
    <s v="Card"/>
    <x v="0"/>
    <n v="84"/>
    <d v="2025-04-11T00:00:00"/>
    <x v="3"/>
    <s v="East"/>
    <n v="0.02"/>
    <s v="Normal Day"/>
  </r>
  <r>
    <x v="99"/>
    <n v="59"/>
    <x v="8"/>
    <x v="99"/>
    <n v="499"/>
    <s v="UPI"/>
    <x v="0"/>
    <n v="28"/>
    <d v="2024-05-15T00:00:00"/>
    <x v="4"/>
    <s v="East"/>
    <n v="0"/>
    <s v="Normal Day"/>
  </r>
  <r>
    <x v="100"/>
    <n v="137"/>
    <x v="34"/>
    <x v="100"/>
    <n v="299"/>
    <s v="UPI"/>
    <x v="0"/>
    <n v="9"/>
    <d v="2024-04-09T00:00:00"/>
    <x v="3"/>
    <s v="West"/>
    <n v="0"/>
    <s v="Normal Day"/>
  </r>
  <r>
    <x v="101"/>
    <n v="158"/>
    <x v="38"/>
    <x v="101"/>
    <n v="499"/>
    <s v="Netbanking"/>
    <x v="0"/>
    <n v="95"/>
    <d v="2024-08-05T00:00:00"/>
    <x v="5"/>
    <s v="North"/>
    <n v="1.4999999999999999E-2"/>
    <s v="Normal Day"/>
  </r>
  <r>
    <x v="102"/>
    <n v="148"/>
    <x v="26"/>
    <x v="102"/>
    <n v="99"/>
    <s v="Card"/>
    <x v="0"/>
    <n v="15"/>
    <d v="2024-06-24T00:00:00"/>
    <x v="1"/>
    <s v="North"/>
    <n v="0.02"/>
    <s v="Normal Day"/>
  </r>
  <r>
    <x v="103"/>
    <n v="207"/>
    <x v="7"/>
    <x v="103"/>
    <n v="149"/>
    <s v="UPI"/>
    <x v="0"/>
    <n v="64"/>
    <d v="2025-10-03T00:00:00"/>
    <x v="3"/>
    <s v="West"/>
    <n v="0"/>
    <s v="Normal Day"/>
  </r>
  <r>
    <x v="104"/>
    <n v="42"/>
    <x v="38"/>
    <x v="104"/>
    <n v="2999"/>
    <s v="Card"/>
    <x v="0"/>
    <n v="5"/>
    <d v="2024-07-15T00:00:00"/>
    <x v="5"/>
    <s v="North"/>
    <n v="0.02"/>
    <s v="Normal Day"/>
  </r>
  <r>
    <x v="105"/>
    <n v="166"/>
    <x v="38"/>
    <x v="105"/>
    <n v="149"/>
    <s v="UPI"/>
    <x v="0"/>
    <n v="32"/>
    <d v="2024-09-17T00:00:00"/>
    <x v="5"/>
    <s v="North"/>
    <n v="0"/>
    <s v="Normal Day"/>
  </r>
  <r>
    <x v="106"/>
    <n v="346"/>
    <x v="21"/>
    <x v="106"/>
    <n v="99"/>
    <s v="UPI"/>
    <x v="0"/>
    <n v="75"/>
    <d v="2025-07-25T00:00:00"/>
    <x v="5"/>
    <s v="South"/>
    <n v="0"/>
    <s v="Normal Day"/>
  </r>
  <r>
    <x v="107"/>
    <n v="138"/>
    <x v="21"/>
    <x v="107"/>
    <n v="499"/>
    <s v="UPI"/>
    <x v="0"/>
    <n v="5"/>
    <d v="2025-04-21T00:00:00"/>
    <x v="5"/>
    <s v="South"/>
    <n v="0"/>
    <s v="Normal Day"/>
  </r>
  <r>
    <x v="108"/>
    <n v="266"/>
    <x v="26"/>
    <x v="108"/>
    <n v="499"/>
    <s v="Wallet"/>
    <x v="1"/>
    <n v="35"/>
    <d v="2025-07-21T00:00:00"/>
    <x v="1"/>
    <s v="North"/>
    <n v="1.2E-2"/>
    <s v="Normal Day"/>
  </r>
  <r>
    <x v="109"/>
    <n v="326"/>
    <x v="33"/>
    <x v="109"/>
    <n v="149"/>
    <s v="UPI"/>
    <x v="0"/>
    <n v="11"/>
    <d v="2024-12-26T00:00:00"/>
    <x v="6"/>
    <s v="West"/>
    <n v="0"/>
    <s v="Normal Day"/>
  </r>
  <r>
    <x v="110"/>
    <n v="171"/>
    <x v="17"/>
    <x v="110"/>
    <n v="799"/>
    <s v="UPI"/>
    <x v="0"/>
    <n v="85"/>
    <d v="2025-10-08T00:00:00"/>
    <x v="6"/>
    <s v="East"/>
    <n v="0"/>
    <s v="Normal Day"/>
  </r>
  <r>
    <x v="111"/>
    <n v="211"/>
    <x v="33"/>
    <x v="111"/>
    <n v="49"/>
    <s v="UPI"/>
    <x v="0"/>
    <n v="36"/>
    <d v="2024-10-29T00:00:00"/>
    <x v="6"/>
    <s v="West"/>
    <n v="0"/>
    <s v="Normal Day"/>
  </r>
  <r>
    <x v="112"/>
    <n v="282"/>
    <x v="4"/>
    <x v="112"/>
    <n v="499"/>
    <s v="UPI"/>
    <x v="0"/>
    <n v="58"/>
    <d v="2025-03-06T00:00:00"/>
    <x v="3"/>
    <s v="East"/>
    <n v="0"/>
    <s v="Normal Day"/>
  </r>
  <r>
    <x v="113"/>
    <n v="166"/>
    <x v="30"/>
    <x v="113"/>
    <n v="299"/>
    <s v="UPI"/>
    <x v="0"/>
    <n v="98"/>
    <d v="2024-09-17T00:00:00"/>
    <x v="6"/>
    <s v="North"/>
    <n v="0"/>
    <s v="Normal Day"/>
  </r>
  <r>
    <x v="114"/>
    <n v="1"/>
    <x v="8"/>
    <x v="114"/>
    <n v="149"/>
    <s v="UPI"/>
    <x v="0"/>
    <n v="59"/>
    <d v="2024-06-04T00:00:00"/>
    <x v="4"/>
    <s v="East"/>
    <n v="0"/>
    <s v="Normal Day"/>
  </r>
  <r>
    <x v="115"/>
    <n v="266"/>
    <x v="31"/>
    <x v="115"/>
    <n v="499"/>
    <s v="UPI"/>
    <x v="0"/>
    <n v="79"/>
    <d v="2025-07-21T00:00:00"/>
    <x v="3"/>
    <s v="North"/>
    <n v="0"/>
    <s v="Normal Day"/>
  </r>
  <r>
    <x v="116"/>
    <n v="227"/>
    <x v="29"/>
    <x v="116"/>
    <n v="499"/>
    <s v="UPI"/>
    <x v="0"/>
    <n v="26"/>
    <d v="2025-01-15T00:00:00"/>
    <x v="1"/>
    <s v="East"/>
    <n v="0"/>
    <s v="Normal Day"/>
  </r>
  <r>
    <x v="117"/>
    <n v="148"/>
    <x v="26"/>
    <x v="117"/>
    <n v="499"/>
    <s v="UPI"/>
    <x v="0"/>
    <n v="89"/>
    <d v="2024-06-24T00:00:00"/>
    <x v="1"/>
    <s v="North"/>
    <n v="0"/>
    <s v="Normal Day"/>
  </r>
  <r>
    <x v="118"/>
    <n v="323"/>
    <x v="38"/>
    <x v="118"/>
    <n v="499"/>
    <s v="UPI"/>
    <x v="0"/>
    <n v="30"/>
    <d v="2025-02-22T00:00:00"/>
    <x v="5"/>
    <s v="North"/>
    <n v="0"/>
    <s v="Normal Day"/>
  </r>
  <r>
    <x v="119"/>
    <n v="283"/>
    <x v="37"/>
    <x v="119"/>
    <n v="2999"/>
    <s v="Wallet"/>
    <x v="0"/>
    <n v="70"/>
    <d v="2025-07-20T00:00:00"/>
    <x v="1"/>
    <s v="South"/>
    <n v="1.2E-2"/>
    <s v="Normal Day"/>
  </r>
  <r>
    <x v="120"/>
    <n v="59"/>
    <x v="24"/>
    <x v="120"/>
    <n v="499"/>
    <s v="UPI"/>
    <x v="0"/>
    <n v="15"/>
    <d v="2024-05-15T00:00:00"/>
    <x v="2"/>
    <s v="West"/>
    <n v="0"/>
    <s v="Normal Day"/>
  </r>
  <r>
    <x v="121"/>
    <n v="150"/>
    <x v="11"/>
    <x v="121"/>
    <n v="2999"/>
    <s v="UPI"/>
    <x v="0"/>
    <n v="90"/>
    <d v="2025-02-20T00:00:00"/>
    <x v="0"/>
    <s v="East"/>
    <n v="0"/>
    <s v="Normal Day"/>
  </r>
  <r>
    <x v="122"/>
    <n v="248"/>
    <x v="20"/>
    <x v="122"/>
    <n v="1499"/>
    <s v="UPI"/>
    <x v="1"/>
    <n v="31"/>
    <d v="2024-04-19T00:00:00"/>
    <x v="0"/>
    <s v="East"/>
    <n v="0"/>
    <s v="Normal Day"/>
  </r>
  <r>
    <x v="123"/>
    <n v="197"/>
    <x v="6"/>
    <x v="123"/>
    <n v="49"/>
    <s v="UPI"/>
    <x v="0"/>
    <n v="76"/>
    <d v="2024-05-28T00:00:00"/>
    <x v="2"/>
    <s v="East"/>
    <n v="0"/>
    <s v="Normal Day"/>
  </r>
  <r>
    <x v="124"/>
    <n v="70"/>
    <x v="32"/>
    <x v="124"/>
    <n v="499"/>
    <s v="UPI"/>
    <x v="0"/>
    <n v="35"/>
    <d v="2024-09-13T00:00:00"/>
    <x v="4"/>
    <s v="South"/>
    <n v="0"/>
    <s v="Normal Day"/>
  </r>
  <r>
    <x v="125"/>
    <n v="260"/>
    <x v="7"/>
    <x v="125"/>
    <n v="1499"/>
    <s v="UPI"/>
    <x v="0"/>
    <n v="0"/>
    <d v="2025-05-07T00:00:00"/>
    <x v="3"/>
    <s v="West"/>
    <n v="0"/>
    <s v="Normal Day"/>
  </r>
  <r>
    <x v="126"/>
    <n v="301"/>
    <x v="35"/>
    <x v="126"/>
    <n v="99"/>
    <s v="UPI"/>
    <x v="0"/>
    <n v="84"/>
    <d v="2025-08-18T00:00:00"/>
    <x v="3"/>
    <s v="East"/>
    <n v="0"/>
    <s v="Normal Day"/>
  </r>
  <r>
    <x v="127"/>
    <n v="276"/>
    <x v="20"/>
    <x v="127"/>
    <n v="499"/>
    <s v="Card"/>
    <x v="0"/>
    <n v="44"/>
    <d v="2024-05-05T00:00:00"/>
    <x v="0"/>
    <s v="East"/>
    <n v="0.02"/>
    <s v="Normal Day"/>
  </r>
  <r>
    <x v="128"/>
    <n v="279"/>
    <x v="14"/>
    <x v="128"/>
    <n v="799"/>
    <s v="UPI"/>
    <x v="0"/>
    <n v="58"/>
    <d v="2024-05-31T00:00:00"/>
    <x v="2"/>
    <s v="South"/>
    <n v="0"/>
    <s v="Normal Day"/>
  </r>
  <r>
    <x v="129"/>
    <n v="97"/>
    <x v="0"/>
    <x v="129"/>
    <n v="799"/>
    <s v="Card"/>
    <x v="0"/>
    <n v="73"/>
    <d v="2025-01-22T00:00:00"/>
    <x v="0"/>
    <s v="West"/>
    <n v="0.02"/>
    <s v="Normal Day"/>
  </r>
  <r>
    <x v="130"/>
    <n v="211"/>
    <x v="4"/>
    <x v="130"/>
    <n v="149"/>
    <s v="UPI"/>
    <x v="2"/>
    <n v="40"/>
    <d v="2024-10-29T00:00:00"/>
    <x v="3"/>
    <s v="East"/>
    <n v="0"/>
    <s v="Normal Day"/>
  </r>
  <r>
    <x v="131"/>
    <n v="196"/>
    <x v="14"/>
    <x v="131"/>
    <n v="149"/>
    <s v="Netbanking"/>
    <x v="0"/>
    <n v="84"/>
    <d v="2024-02-04T00:00:00"/>
    <x v="2"/>
    <s v="South"/>
    <n v="1.4999999999999999E-2"/>
    <s v="Normal Day"/>
  </r>
  <r>
    <x v="132"/>
    <n v="254"/>
    <x v="4"/>
    <x v="132"/>
    <n v="149"/>
    <s v="Card"/>
    <x v="0"/>
    <n v="16"/>
    <d v="2024-01-29T00:00:00"/>
    <x v="3"/>
    <s v="East"/>
    <n v="0.02"/>
    <s v="Normal Day"/>
  </r>
  <r>
    <x v="133"/>
    <n v="52"/>
    <x v="26"/>
    <x v="133"/>
    <n v="49"/>
    <s v="Netbanking"/>
    <x v="0"/>
    <n v="12"/>
    <d v="2025-09-28T00:00:00"/>
    <x v="1"/>
    <s v="North"/>
    <n v="1.4999999999999999E-2"/>
    <s v="Normal Day"/>
  </r>
  <r>
    <x v="134"/>
    <n v="74"/>
    <x v="1"/>
    <x v="134"/>
    <n v="799"/>
    <s v="UPI"/>
    <x v="0"/>
    <n v="83"/>
    <d v="2025-03-08T00:00:00"/>
    <x v="1"/>
    <s v="North"/>
    <n v="0"/>
    <s v="Normal Day"/>
  </r>
  <r>
    <x v="135"/>
    <n v="136"/>
    <x v="3"/>
    <x v="135"/>
    <n v="149"/>
    <s v="UPI"/>
    <x v="0"/>
    <n v="79"/>
    <d v="2025-04-11T00:00:00"/>
    <x v="2"/>
    <s v="South"/>
    <n v="0"/>
    <s v="Normal Day"/>
  </r>
  <r>
    <x v="136"/>
    <n v="42"/>
    <x v="3"/>
    <x v="136"/>
    <n v="49"/>
    <s v="UPI"/>
    <x v="0"/>
    <n v="86"/>
    <d v="2024-07-15T00:00:00"/>
    <x v="2"/>
    <s v="South"/>
    <n v="0"/>
    <s v="Normal Day"/>
  </r>
  <r>
    <x v="137"/>
    <n v="163"/>
    <x v="33"/>
    <x v="137"/>
    <n v="2999"/>
    <s v="Wallet"/>
    <x v="1"/>
    <n v="69"/>
    <d v="2025-08-28T00:00:00"/>
    <x v="6"/>
    <s v="West"/>
    <n v="1.2E-2"/>
    <s v="Normal Day"/>
  </r>
  <r>
    <x v="138"/>
    <n v="121"/>
    <x v="13"/>
    <x v="138"/>
    <n v="149"/>
    <s v="UPI"/>
    <x v="0"/>
    <n v="29"/>
    <d v="2024-10-20T00:00:00"/>
    <x v="3"/>
    <s v="North"/>
    <n v="0"/>
    <s v="Normal Day"/>
  </r>
  <r>
    <x v="139"/>
    <n v="51"/>
    <x v="23"/>
    <x v="139"/>
    <n v="499"/>
    <s v="Card"/>
    <x v="0"/>
    <n v="56"/>
    <d v="2024-04-01T00:00:00"/>
    <x v="6"/>
    <s v="East"/>
    <n v="0.02"/>
    <s v="Normal Day"/>
  </r>
  <r>
    <x v="140"/>
    <n v="15"/>
    <x v="4"/>
    <x v="140"/>
    <n v="799"/>
    <s v="UPI"/>
    <x v="0"/>
    <n v="41"/>
    <d v="2024-10-18T00:00:00"/>
    <x v="3"/>
    <s v="East"/>
    <n v="0"/>
    <s v="Normal Day"/>
  </r>
  <r>
    <x v="141"/>
    <n v="184"/>
    <x v="31"/>
    <x v="141"/>
    <n v="49"/>
    <s v="UPI"/>
    <x v="0"/>
    <n v="55"/>
    <d v="2024-08-30T00:00:00"/>
    <x v="3"/>
    <s v="North"/>
    <n v="0"/>
    <s v="Normal Day"/>
  </r>
  <r>
    <x v="142"/>
    <n v="211"/>
    <x v="21"/>
    <x v="142"/>
    <n v="1499"/>
    <s v="UPI"/>
    <x v="0"/>
    <n v="87"/>
    <d v="2024-10-29T00:00:00"/>
    <x v="5"/>
    <s v="South"/>
    <n v="0"/>
    <s v="Normal Day"/>
  </r>
  <r>
    <x v="143"/>
    <n v="90"/>
    <x v="18"/>
    <x v="143"/>
    <n v="49"/>
    <s v="Card"/>
    <x v="0"/>
    <n v="78"/>
    <d v="2025-12-02T00:00:00"/>
    <x v="6"/>
    <s v="South"/>
    <n v="0.02"/>
    <s v="Normal Day"/>
  </r>
  <r>
    <x v="144"/>
    <n v="350"/>
    <x v="0"/>
    <x v="144"/>
    <n v="49"/>
    <s v="UPI"/>
    <x v="0"/>
    <n v="63"/>
    <d v="2025-10-23T00:00:00"/>
    <x v="0"/>
    <s v="West"/>
    <n v="0"/>
    <s v="Normal Day"/>
  </r>
  <r>
    <x v="145"/>
    <n v="119"/>
    <x v="24"/>
    <x v="145"/>
    <n v="49"/>
    <s v="Card"/>
    <x v="0"/>
    <n v="81"/>
    <d v="2025-05-11T00:00:00"/>
    <x v="2"/>
    <s v="West"/>
    <n v="0.02"/>
    <s v="Normal Day"/>
  </r>
  <r>
    <x v="146"/>
    <n v="342"/>
    <x v="37"/>
    <x v="146"/>
    <n v="49"/>
    <s v="UPI"/>
    <x v="0"/>
    <n v="59"/>
    <d v="2024-04-15T00:00:00"/>
    <x v="1"/>
    <s v="South"/>
    <n v="0"/>
    <s v="Normal Day"/>
  </r>
  <r>
    <x v="147"/>
    <n v="280"/>
    <x v="2"/>
    <x v="147"/>
    <n v="149"/>
    <s v="UPI"/>
    <x v="2"/>
    <n v="9"/>
    <d v="2025-04-28T00:00:00"/>
    <x v="1"/>
    <s v="North"/>
    <n v="0"/>
    <s v="Normal Day"/>
  </r>
  <r>
    <x v="148"/>
    <n v="154"/>
    <x v="10"/>
    <x v="148"/>
    <n v="2999"/>
    <s v="Netbanking"/>
    <x v="0"/>
    <n v="88"/>
    <d v="2024-05-29T00:00:00"/>
    <x v="1"/>
    <s v="South"/>
    <n v="1.4999999999999999E-2"/>
    <s v="Normal Day"/>
  </r>
  <r>
    <x v="149"/>
    <n v="155"/>
    <x v="6"/>
    <x v="149"/>
    <n v="149"/>
    <s v="UPI"/>
    <x v="0"/>
    <n v="49"/>
    <d v="2025-07-20T00:00:00"/>
    <x v="2"/>
    <s v="East"/>
    <n v="0"/>
    <s v="Normal Day"/>
  </r>
  <r>
    <x v="150"/>
    <n v="122"/>
    <x v="14"/>
    <x v="150"/>
    <n v="299"/>
    <s v="UPI"/>
    <x v="0"/>
    <n v="73"/>
    <d v="2024-01-15T00:00:00"/>
    <x v="2"/>
    <s v="South"/>
    <n v="0"/>
    <s v="Normal Day"/>
  </r>
  <r>
    <x v="151"/>
    <n v="152"/>
    <x v="27"/>
    <x v="151"/>
    <n v="49"/>
    <s v="UPI"/>
    <x v="0"/>
    <n v="84"/>
    <d v="2024-07-23T00:00:00"/>
    <x v="3"/>
    <s v="West"/>
    <n v="0"/>
    <s v="Normal Day"/>
  </r>
  <r>
    <x v="152"/>
    <n v="290"/>
    <x v="29"/>
    <x v="152"/>
    <n v="149"/>
    <s v="UPI"/>
    <x v="0"/>
    <n v="77"/>
    <d v="2024-09-10T00:00:00"/>
    <x v="1"/>
    <s v="East"/>
    <n v="0"/>
    <s v="Normal Day"/>
  </r>
  <r>
    <x v="153"/>
    <n v="147"/>
    <x v="19"/>
    <x v="153"/>
    <n v="49"/>
    <s v="Wallet"/>
    <x v="0"/>
    <n v="77"/>
    <d v="2025-09-21T00:00:00"/>
    <x v="2"/>
    <s v="North"/>
    <n v="1.2E-2"/>
    <s v="Normal Day"/>
  </r>
  <r>
    <x v="154"/>
    <n v="326"/>
    <x v="6"/>
    <x v="154"/>
    <n v="299"/>
    <s v="Netbanking"/>
    <x v="0"/>
    <n v="79"/>
    <d v="2024-12-26T00:00:00"/>
    <x v="2"/>
    <s v="East"/>
    <n v="1.4999999999999999E-2"/>
    <s v="Normal Day"/>
  </r>
  <r>
    <x v="155"/>
    <n v="338"/>
    <x v="39"/>
    <x v="155"/>
    <n v="99"/>
    <s v="Card"/>
    <x v="0"/>
    <n v="80"/>
    <d v="2025-07-03T00:00:00"/>
    <x v="1"/>
    <s v="North"/>
    <n v="0.02"/>
    <s v="Normal Day"/>
  </r>
  <r>
    <x v="156"/>
    <n v="21"/>
    <x v="15"/>
    <x v="156"/>
    <n v="2999"/>
    <s v="UPI"/>
    <x v="0"/>
    <n v="100"/>
    <d v="2025-04-29T00:00:00"/>
    <x v="6"/>
    <s v="East"/>
    <n v="0"/>
    <s v="Normal Day"/>
  </r>
  <r>
    <x v="157"/>
    <n v="187"/>
    <x v="39"/>
    <x v="157"/>
    <n v="49"/>
    <s v="Card"/>
    <x v="1"/>
    <n v="11"/>
    <d v="2025-05-29T00:00:00"/>
    <x v="1"/>
    <s v="North"/>
    <n v="0.02"/>
    <s v="Normal Day"/>
  </r>
  <r>
    <x v="158"/>
    <n v="213"/>
    <x v="9"/>
    <x v="158"/>
    <n v="4999"/>
    <s v="UPI"/>
    <x v="0"/>
    <n v="25"/>
    <d v="2024-08-24T00:00:00"/>
    <x v="1"/>
    <s v="East"/>
    <n v="0"/>
    <s v="Normal Day"/>
  </r>
  <r>
    <x v="159"/>
    <n v="188"/>
    <x v="36"/>
    <x v="159"/>
    <n v="2999"/>
    <s v="UPI"/>
    <x v="0"/>
    <n v="64"/>
    <d v="2025-02-20T00:00:00"/>
    <x v="2"/>
    <s v="South"/>
    <n v="0"/>
    <s v="Normal Day"/>
  </r>
  <r>
    <x v="160"/>
    <n v="85"/>
    <x v="28"/>
    <x v="160"/>
    <n v="499"/>
    <s v="UPI"/>
    <x v="0"/>
    <n v="61"/>
    <d v="2025-06-29T00:00:00"/>
    <x v="3"/>
    <s v="North"/>
    <n v="0"/>
    <s v="Normal Day"/>
  </r>
  <r>
    <x v="161"/>
    <n v="174"/>
    <x v="30"/>
    <x v="161"/>
    <n v="299"/>
    <s v="Netbanking"/>
    <x v="0"/>
    <n v="59"/>
    <d v="2024-02-10T00:00:00"/>
    <x v="6"/>
    <s v="North"/>
    <n v="1.4999999999999999E-2"/>
    <s v="Normal Day"/>
  </r>
  <r>
    <x v="162"/>
    <n v="116"/>
    <x v="22"/>
    <x v="162"/>
    <n v="99"/>
    <s v="Netbanking"/>
    <x v="0"/>
    <n v="71"/>
    <d v="2024-09-25T00:00:00"/>
    <x v="6"/>
    <s v="East"/>
    <n v="1.4999999999999999E-2"/>
    <s v="Normal Day"/>
  </r>
  <r>
    <x v="163"/>
    <n v="203"/>
    <x v="37"/>
    <x v="163"/>
    <n v="149"/>
    <s v="Wallet"/>
    <x v="0"/>
    <n v="33"/>
    <d v="2024-07-23T00:00:00"/>
    <x v="1"/>
    <s v="South"/>
    <n v="1.2E-2"/>
    <s v="Normal Day"/>
  </r>
  <r>
    <x v="164"/>
    <n v="189"/>
    <x v="28"/>
    <x v="164"/>
    <n v="99"/>
    <s v="UPI"/>
    <x v="0"/>
    <n v="74"/>
    <d v="2024-08-16T00:00:00"/>
    <x v="3"/>
    <s v="North"/>
    <n v="0"/>
    <s v="Normal Day"/>
  </r>
  <r>
    <x v="165"/>
    <n v="56"/>
    <x v="19"/>
    <x v="165"/>
    <n v="299"/>
    <s v="UPI"/>
    <x v="0"/>
    <n v="60"/>
    <d v="2024-08-10T00:00:00"/>
    <x v="2"/>
    <s v="North"/>
    <n v="0"/>
    <s v="Normal Day"/>
  </r>
  <r>
    <x v="166"/>
    <n v="288"/>
    <x v="17"/>
    <x v="166"/>
    <n v="4999"/>
    <s v="Wallet"/>
    <x v="1"/>
    <n v="78"/>
    <d v="2025-02-14T00:00:00"/>
    <x v="6"/>
    <s v="East"/>
    <n v="1.2E-2"/>
    <s v="Normal Day"/>
  </r>
  <r>
    <x v="167"/>
    <n v="326"/>
    <x v="24"/>
    <x v="53"/>
    <n v="99"/>
    <s v="Card"/>
    <x v="0"/>
    <n v="89"/>
    <d v="2024-12-26T00:00:00"/>
    <x v="2"/>
    <s v="West"/>
    <n v="0.02"/>
    <s v="Normal Day"/>
  </r>
  <r>
    <x v="168"/>
    <n v="60"/>
    <x v="39"/>
    <x v="167"/>
    <n v="49"/>
    <s v="Netbanking"/>
    <x v="0"/>
    <n v="5"/>
    <d v="2025-11-21T00:00:00"/>
    <x v="1"/>
    <s v="North"/>
    <n v="1.4999999999999999E-2"/>
    <s v="Normal Day"/>
  </r>
  <r>
    <x v="169"/>
    <n v="60"/>
    <x v="23"/>
    <x v="168"/>
    <n v="2999"/>
    <s v="Wallet"/>
    <x v="0"/>
    <n v="30"/>
    <d v="2025-11-21T00:00:00"/>
    <x v="6"/>
    <s v="East"/>
    <n v="1.2E-2"/>
    <s v="Normal Day"/>
  </r>
  <r>
    <x v="170"/>
    <n v="199"/>
    <x v="24"/>
    <x v="169"/>
    <n v="149"/>
    <s v="Netbanking"/>
    <x v="0"/>
    <n v="47"/>
    <d v="2025-08-29T00:00:00"/>
    <x v="2"/>
    <s v="West"/>
    <n v="1.4999999999999999E-2"/>
    <s v="Normal Day"/>
  </r>
  <r>
    <x v="171"/>
    <n v="277"/>
    <x v="1"/>
    <x v="170"/>
    <n v="49"/>
    <s v="UPI"/>
    <x v="0"/>
    <n v="75"/>
    <d v="2025-08-22T00:00:00"/>
    <x v="1"/>
    <s v="North"/>
    <n v="0"/>
    <s v="Normal Day"/>
  </r>
  <r>
    <x v="172"/>
    <n v="213"/>
    <x v="23"/>
    <x v="171"/>
    <n v="799"/>
    <s v="Netbanking"/>
    <x v="0"/>
    <n v="62"/>
    <d v="2024-08-24T00:00:00"/>
    <x v="6"/>
    <s v="East"/>
    <n v="1.4999999999999999E-2"/>
    <s v="Normal Day"/>
  </r>
  <r>
    <x v="173"/>
    <n v="17"/>
    <x v="31"/>
    <x v="172"/>
    <n v="299"/>
    <s v="UPI"/>
    <x v="0"/>
    <n v="27"/>
    <d v="2025-09-26T00:00:00"/>
    <x v="3"/>
    <s v="North"/>
    <n v="0"/>
    <s v="Normal Day"/>
  </r>
  <r>
    <x v="174"/>
    <n v="186"/>
    <x v="23"/>
    <x v="173"/>
    <n v="1499"/>
    <s v="Card"/>
    <x v="1"/>
    <n v="87"/>
    <d v="2024-09-26T00:00:00"/>
    <x v="6"/>
    <s v="East"/>
    <n v="0.02"/>
    <s v="Normal Day"/>
  </r>
  <r>
    <x v="175"/>
    <n v="331"/>
    <x v="5"/>
    <x v="174"/>
    <n v="149"/>
    <s v="UPI"/>
    <x v="0"/>
    <n v="7"/>
    <d v="2024-09-06T00:00:00"/>
    <x v="2"/>
    <s v="North"/>
    <n v="0"/>
    <s v="Normal Day"/>
  </r>
  <r>
    <x v="176"/>
    <n v="63"/>
    <x v="24"/>
    <x v="175"/>
    <n v="1499"/>
    <s v="Card"/>
    <x v="0"/>
    <n v="11"/>
    <d v="2024-01-04T00:00:00"/>
    <x v="2"/>
    <s v="West"/>
    <n v="0.02"/>
    <s v="Normal Day"/>
  </r>
  <r>
    <x v="177"/>
    <n v="328"/>
    <x v="38"/>
    <x v="176"/>
    <n v="4999"/>
    <s v="Wallet"/>
    <x v="2"/>
    <n v="2"/>
    <d v="2024-02-19T00:00:00"/>
    <x v="5"/>
    <s v="North"/>
    <n v="1.2E-2"/>
    <s v="Normal Day"/>
  </r>
  <r>
    <x v="178"/>
    <n v="65"/>
    <x v="21"/>
    <x v="177"/>
    <n v="2999"/>
    <s v="Card"/>
    <x v="0"/>
    <n v="26"/>
    <d v="2025-03-04T00:00:00"/>
    <x v="5"/>
    <s v="South"/>
    <n v="0.02"/>
    <s v="Normal Day"/>
  </r>
  <r>
    <x v="179"/>
    <n v="301"/>
    <x v="16"/>
    <x v="178"/>
    <n v="149"/>
    <s v="UPI"/>
    <x v="0"/>
    <n v="29"/>
    <d v="2025-08-18T00:00:00"/>
    <x v="3"/>
    <s v="East"/>
    <n v="0"/>
    <s v="Normal Day"/>
  </r>
  <r>
    <x v="180"/>
    <n v="306"/>
    <x v="37"/>
    <x v="179"/>
    <n v="299"/>
    <s v="UPI"/>
    <x v="1"/>
    <n v="35"/>
    <d v="2024-05-15T00:00:00"/>
    <x v="1"/>
    <s v="South"/>
    <n v="0"/>
    <s v="Normal Day"/>
  </r>
  <r>
    <x v="181"/>
    <n v="277"/>
    <x v="28"/>
    <x v="180"/>
    <n v="299"/>
    <s v="UPI"/>
    <x v="0"/>
    <n v="22"/>
    <d v="2025-08-22T00:00:00"/>
    <x v="3"/>
    <s v="North"/>
    <n v="0"/>
    <s v="Normal Day"/>
  </r>
  <r>
    <x v="182"/>
    <n v="14"/>
    <x v="39"/>
    <x v="181"/>
    <n v="499"/>
    <s v="UPI"/>
    <x v="0"/>
    <n v="1"/>
    <d v="2025-01-13T00:00:00"/>
    <x v="1"/>
    <s v="North"/>
    <n v="0"/>
    <s v="Normal Day"/>
  </r>
  <r>
    <x v="183"/>
    <n v="166"/>
    <x v="27"/>
    <x v="182"/>
    <n v="299"/>
    <s v="Card"/>
    <x v="0"/>
    <n v="22"/>
    <d v="2024-09-17T00:00:00"/>
    <x v="3"/>
    <s v="West"/>
    <n v="0.02"/>
    <s v="Normal Day"/>
  </r>
  <r>
    <x v="184"/>
    <n v="216"/>
    <x v="36"/>
    <x v="183"/>
    <n v="299"/>
    <s v="Card"/>
    <x v="0"/>
    <n v="14"/>
    <d v="2024-05-12T00:00:00"/>
    <x v="2"/>
    <s v="South"/>
    <n v="0.02"/>
    <s v="Normal Day"/>
  </r>
  <r>
    <x v="185"/>
    <n v="230"/>
    <x v="31"/>
    <x v="184"/>
    <n v="49"/>
    <s v="UPI"/>
    <x v="0"/>
    <n v="65"/>
    <d v="2024-04-13T00:00:00"/>
    <x v="3"/>
    <s v="North"/>
    <n v="0"/>
    <s v="Normal Day"/>
  </r>
  <r>
    <x v="186"/>
    <n v="258"/>
    <x v="19"/>
    <x v="185"/>
    <n v="499"/>
    <s v="Wallet"/>
    <x v="0"/>
    <n v="78"/>
    <d v="2025-01-13T00:00:00"/>
    <x v="2"/>
    <s v="North"/>
    <n v="1.2E-2"/>
    <s v="Normal Day"/>
  </r>
  <r>
    <x v="187"/>
    <n v="338"/>
    <x v="36"/>
    <x v="186"/>
    <n v="49"/>
    <s v="UPI"/>
    <x v="0"/>
    <n v="38"/>
    <d v="2025-07-03T00:00:00"/>
    <x v="2"/>
    <s v="South"/>
    <n v="0"/>
    <s v="Normal Day"/>
  </r>
  <r>
    <x v="188"/>
    <n v="32"/>
    <x v="20"/>
    <x v="187"/>
    <n v="299"/>
    <s v="UPI"/>
    <x v="0"/>
    <n v="51"/>
    <d v="2024-05-30T00:00:00"/>
    <x v="0"/>
    <s v="East"/>
    <n v="0"/>
    <s v="Normal Day"/>
  </r>
  <r>
    <x v="189"/>
    <n v="252"/>
    <x v="26"/>
    <x v="188"/>
    <n v="1499"/>
    <s v="UPI"/>
    <x v="0"/>
    <n v="9"/>
    <d v="2025-09-10T00:00:00"/>
    <x v="1"/>
    <s v="North"/>
    <n v="0"/>
    <s v="Normal Day"/>
  </r>
  <r>
    <x v="190"/>
    <n v="312"/>
    <x v="34"/>
    <x v="189"/>
    <n v="799"/>
    <s v="UPI"/>
    <x v="0"/>
    <n v="8"/>
    <d v="2024-12-16T00:00:00"/>
    <x v="3"/>
    <s v="West"/>
    <n v="0"/>
    <s v="Normal Day"/>
  </r>
  <r>
    <x v="191"/>
    <n v="325"/>
    <x v="35"/>
    <x v="190"/>
    <n v="1499"/>
    <s v="Netbanking"/>
    <x v="0"/>
    <n v="70"/>
    <d v="2025-11-29T00:00:00"/>
    <x v="3"/>
    <s v="East"/>
    <n v="1.4999999999999999E-2"/>
    <s v="Normal Day"/>
  </r>
  <r>
    <x v="192"/>
    <n v="306"/>
    <x v="36"/>
    <x v="191"/>
    <n v="2999"/>
    <s v="UPI"/>
    <x v="0"/>
    <n v="37"/>
    <d v="2024-05-15T00:00:00"/>
    <x v="2"/>
    <s v="South"/>
    <n v="0"/>
    <s v="Normal Day"/>
  </r>
  <r>
    <x v="193"/>
    <n v="221"/>
    <x v="23"/>
    <x v="192"/>
    <n v="149"/>
    <s v="Netbanking"/>
    <x v="0"/>
    <n v="89"/>
    <d v="2025-02-02T00:00:00"/>
    <x v="6"/>
    <s v="East"/>
    <n v="1.4999999999999999E-2"/>
    <s v="Normal Day"/>
  </r>
  <r>
    <x v="194"/>
    <n v="283"/>
    <x v="16"/>
    <x v="156"/>
    <n v="99"/>
    <s v="Wallet"/>
    <x v="0"/>
    <n v="55"/>
    <d v="2025-07-20T00:00:00"/>
    <x v="3"/>
    <s v="East"/>
    <n v="1.2E-2"/>
    <s v="Normal Day"/>
  </r>
  <r>
    <x v="195"/>
    <n v="174"/>
    <x v="24"/>
    <x v="193"/>
    <n v="49"/>
    <s v="UPI"/>
    <x v="0"/>
    <n v="51"/>
    <d v="2024-02-10T00:00:00"/>
    <x v="2"/>
    <s v="West"/>
    <n v="0"/>
    <s v="Normal Day"/>
  </r>
  <r>
    <x v="196"/>
    <n v="161"/>
    <x v="10"/>
    <x v="194"/>
    <n v="49"/>
    <s v="UPI"/>
    <x v="0"/>
    <n v="40"/>
    <d v="2024-10-12T00:00:00"/>
    <x v="1"/>
    <s v="South"/>
    <n v="0"/>
    <s v="Normal Day"/>
  </r>
  <r>
    <x v="197"/>
    <n v="79"/>
    <x v="20"/>
    <x v="195"/>
    <n v="99"/>
    <s v="UPI"/>
    <x v="0"/>
    <n v="8"/>
    <d v="2024-03-02T00:00:00"/>
    <x v="0"/>
    <s v="East"/>
    <n v="0"/>
    <s v="Normal Day"/>
  </r>
  <r>
    <x v="198"/>
    <n v="222"/>
    <x v="23"/>
    <x v="196"/>
    <n v="149"/>
    <s v="Wallet"/>
    <x v="0"/>
    <n v="95"/>
    <d v="2025-04-24T00:00:00"/>
    <x v="6"/>
    <s v="East"/>
    <n v="1.2E-2"/>
    <s v="Normal Day"/>
  </r>
  <r>
    <x v="199"/>
    <n v="67"/>
    <x v="25"/>
    <x v="197"/>
    <n v="99"/>
    <s v="UPI"/>
    <x v="0"/>
    <n v="7"/>
    <d v="2024-12-19T00:00:00"/>
    <x v="5"/>
    <s v="East"/>
    <n v="0"/>
    <s v="Normal Day"/>
  </r>
  <r>
    <x v="200"/>
    <n v="169"/>
    <x v="30"/>
    <x v="198"/>
    <n v="99"/>
    <s v="UPI"/>
    <x v="0"/>
    <n v="52"/>
    <d v="2024-10-08T00:00:00"/>
    <x v="6"/>
    <s v="North"/>
    <n v="0"/>
    <s v="Normal Day"/>
  </r>
  <r>
    <x v="201"/>
    <n v="217"/>
    <x v="29"/>
    <x v="199"/>
    <n v="49"/>
    <s v="UPI"/>
    <x v="0"/>
    <n v="36"/>
    <d v="2024-01-25T00:00:00"/>
    <x v="1"/>
    <s v="East"/>
    <n v="0"/>
    <s v="Normal Day"/>
  </r>
  <r>
    <x v="202"/>
    <n v="54"/>
    <x v="21"/>
    <x v="200"/>
    <n v="149"/>
    <s v="UPI"/>
    <x v="0"/>
    <n v="64"/>
    <d v="2024-11-07T00:00:00"/>
    <x v="5"/>
    <s v="South"/>
    <n v="0"/>
    <s v="Normal Day"/>
  </r>
  <r>
    <x v="203"/>
    <n v="247"/>
    <x v="19"/>
    <x v="201"/>
    <n v="49"/>
    <s v="Card"/>
    <x v="0"/>
    <n v="13"/>
    <d v="2025-03-25T00:00:00"/>
    <x v="2"/>
    <s v="North"/>
    <n v="0.02"/>
    <s v="Normal Day"/>
  </r>
  <r>
    <x v="204"/>
    <n v="59"/>
    <x v="7"/>
    <x v="202"/>
    <n v="49"/>
    <s v="Card"/>
    <x v="0"/>
    <n v="73"/>
    <d v="2024-05-15T00:00:00"/>
    <x v="3"/>
    <s v="West"/>
    <n v="0.02"/>
    <s v="Normal Day"/>
  </r>
  <r>
    <x v="205"/>
    <n v="288"/>
    <x v="12"/>
    <x v="203"/>
    <n v="49"/>
    <s v="UPI"/>
    <x v="1"/>
    <n v="78"/>
    <d v="2025-02-14T00:00:00"/>
    <x v="5"/>
    <s v="South"/>
    <n v="0"/>
    <s v="Normal Day"/>
  </r>
  <r>
    <x v="206"/>
    <n v="14"/>
    <x v="38"/>
    <x v="204"/>
    <n v="799"/>
    <s v="UPI"/>
    <x v="0"/>
    <n v="84"/>
    <d v="2025-01-13T00:00:00"/>
    <x v="5"/>
    <s v="North"/>
    <n v="0"/>
    <s v="Normal Day"/>
  </r>
  <r>
    <x v="207"/>
    <n v="15"/>
    <x v="9"/>
    <x v="205"/>
    <n v="149"/>
    <s v="UPI"/>
    <x v="0"/>
    <n v="34"/>
    <d v="2024-10-18T00:00:00"/>
    <x v="1"/>
    <s v="East"/>
    <n v="0"/>
    <s v="Normal Day"/>
  </r>
  <r>
    <x v="208"/>
    <n v="174"/>
    <x v="5"/>
    <x v="206"/>
    <n v="149"/>
    <s v="UPI"/>
    <x v="0"/>
    <n v="0"/>
    <d v="2024-02-10T00:00:00"/>
    <x v="2"/>
    <s v="North"/>
    <n v="0"/>
    <s v="Normal Day"/>
  </r>
  <r>
    <x v="209"/>
    <n v="337"/>
    <x v="22"/>
    <x v="207"/>
    <n v="49"/>
    <s v="UPI"/>
    <x v="0"/>
    <n v="8"/>
    <d v="2025-09-16T00:00:00"/>
    <x v="6"/>
    <s v="East"/>
    <n v="0"/>
    <s v="Normal Day"/>
  </r>
  <r>
    <x v="210"/>
    <n v="16"/>
    <x v="18"/>
    <x v="208"/>
    <n v="1499"/>
    <s v="UPI"/>
    <x v="0"/>
    <n v="95"/>
    <d v="2025-03-03T00:00:00"/>
    <x v="6"/>
    <s v="South"/>
    <n v="0"/>
    <s v="Normal Day"/>
  </r>
  <r>
    <x v="211"/>
    <n v="215"/>
    <x v="24"/>
    <x v="209"/>
    <n v="49"/>
    <s v="UPI"/>
    <x v="0"/>
    <n v="43"/>
    <d v="2024-09-25T00:00:00"/>
    <x v="2"/>
    <s v="West"/>
    <n v="0"/>
    <s v="Normal Day"/>
  </r>
  <r>
    <x v="212"/>
    <n v="167"/>
    <x v="21"/>
    <x v="210"/>
    <n v="99"/>
    <s v="UPI"/>
    <x v="0"/>
    <n v="76"/>
    <d v="2024-12-05T00:00:00"/>
    <x v="5"/>
    <s v="South"/>
    <n v="0"/>
    <s v="Normal Day"/>
  </r>
  <r>
    <x v="213"/>
    <n v="81"/>
    <x v="12"/>
    <x v="211"/>
    <n v="49"/>
    <s v="UPI"/>
    <x v="0"/>
    <n v="6"/>
    <d v="2024-02-17T00:00:00"/>
    <x v="5"/>
    <s v="South"/>
    <n v="0"/>
    <s v="Normal Day"/>
  </r>
  <r>
    <x v="214"/>
    <n v="227"/>
    <x v="10"/>
    <x v="212"/>
    <n v="99"/>
    <s v="UPI"/>
    <x v="0"/>
    <n v="62"/>
    <d v="2025-01-15T00:00:00"/>
    <x v="1"/>
    <s v="South"/>
    <n v="0"/>
    <s v="Normal Day"/>
  </r>
  <r>
    <x v="215"/>
    <n v="140"/>
    <x v="16"/>
    <x v="213"/>
    <n v="299"/>
    <s v="Wallet"/>
    <x v="0"/>
    <n v="96"/>
    <d v="2025-09-21T00:00:00"/>
    <x v="3"/>
    <s v="East"/>
    <n v="1.2E-2"/>
    <s v="Normal Day"/>
  </r>
  <r>
    <x v="216"/>
    <n v="221"/>
    <x v="30"/>
    <x v="214"/>
    <n v="299"/>
    <s v="UPI"/>
    <x v="0"/>
    <n v="36"/>
    <d v="2025-02-02T00:00:00"/>
    <x v="6"/>
    <s v="North"/>
    <n v="0"/>
    <s v="Normal Day"/>
  </r>
  <r>
    <x v="217"/>
    <n v="250"/>
    <x v="36"/>
    <x v="215"/>
    <n v="299"/>
    <s v="Wallet"/>
    <x v="0"/>
    <n v="85"/>
    <d v="2025-10-23T00:00:00"/>
    <x v="2"/>
    <s v="South"/>
    <n v="1.2E-2"/>
    <s v="Normal Day"/>
  </r>
  <r>
    <x v="218"/>
    <n v="203"/>
    <x v="38"/>
    <x v="216"/>
    <n v="49"/>
    <s v="UPI"/>
    <x v="0"/>
    <n v="7"/>
    <d v="2024-07-23T00:00:00"/>
    <x v="5"/>
    <s v="North"/>
    <n v="0"/>
    <s v="Normal Day"/>
  </r>
  <r>
    <x v="219"/>
    <n v="109"/>
    <x v="39"/>
    <x v="217"/>
    <n v="499"/>
    <s v="Wallet"/>
    <x v="0"/>
    <n v="97"/>
    <d v="2024-01-27T00:00:00"/>
    <x v="1"/>
    <s v="North"/>
    <n v="1.2E-2"/>
    <s v="Normal Day"/>
  </r>
  <r>
    <x v="220"/>
    <n v="62"/>
    <x v="37"/>
    <x v="218"/>
    <n v="4999"/>
    <s v="Wallet"/>
    <x v="0"/>
    <n v="63"/>
    <d v="2025-08-07T00:00:00"/>
    <x v="1"/>
    <s v="South"/>
    <n v="1.2E-2"/>
    <s v="Normal Day"/>
  </r>
  <r>
    <x v="221"/>
    <n v="67"/>
    <x v="14"/>
    <x v="219"/>
    <n v="49"/>
    <s v="UPI"/>
    <x v="0"/>
    <n v="68"/>
    <d v="2024-12-19T00:00:00"/>
    <x v="2"/>
    <s v="South"/>
    <n v="0"/>
    <s v="Normal Day"/>
  </r>
  <r>
    <x v="222"/>
    <n v="287"/>
    <x v="5"/>
    <x v="220"/>
    <n v="49"/>
    <s v="UPI"/>
    <x v="0"/>
    <n v="9"/>
    <d v="2024-11-19T00:00:00"/>
    <x v="2"/>
    <s v="North"/>
    <n v="0"/>
    <s v="Normal Day"/>
  </r>
  <r>
    <x v="223"/>
    <n v="224"/>
    <x v="27"/>
    <x v="221"/>
    <n v="49"/>
    <s v="Card"/>
    <x v="0"/>
    <n v="58"/>
    <d v="2024-04-18T00:00:00"/>
    <x v="3"/>
    <s v="West"/>
    <n v="0.02"/>
    <s v="Normal Day"/>
  </r>
  <r>
    <x v="224"/>
    <n v="161"/>
    <x v="21"/>
    <x v="222"/>
    <n v="299"/>
    <s v="UPI"/>
    <x v="0"/>
    <n v="54"/>
    <d v="2024-10-12T00:00:00"/>
    <x v="5"/>
    <s v="South"/>
    <n v="0"/>
    <s v="Normal Day"/>
  </r>
  <r>
    <x v="225"/>
    <n v="328"/>
    <x v="1"/>
    <x v="223"/>
    <n v="49"/>
    <s v="UPI"/>
    <x v="2"/>
    <n v="37"/>
    <d v="2024-02-19T00:00:00"/>
    <x v="1"/>
    <s v="North"/>
    <n v="0"/>
    <s v="Normal Day"/>
  </r>
  <r>
    <x v="226"/>
    <n v="167"/>
    <x v="2"/>
    <x v="224"/>
    <n v="1499"/>
    <s v="Card"/>
    <x v="1"/>
    <n v="79"/>
    <d v="2024-12-05T00:00:00"/>
    <x v="1"/>
    <s v="North"/>
    <n v="0.02"/>
    <s v="Normal Day"/>
  </r>
  <r>
    <x v="227"/>
    <n v="186"/>
    <x v="18"/>
    <x v="225"/>
    <n v="49"/>
    <s v="Wallet"/>
    <x v="0"/>
    <n v="55"/>
    <d v="2024-09-26T00:00:00"/>
    <x v="6"/>
    <s v="South"/>
    <n v="1.2E-2"/>
    <s v="Normal Day"/>
  </r>
  <r>
    <x v="228"/>
    <n v="224"/>
    <x v="35"/>
    <x v="226"/>
    <n v="299"/>
    <s v="Wallet"/>
    <x v="1"/>
    <n v="51"/>
    <d v="2024-04-18T00:00:00"/>
    <x v="3"/>
    <s v="East"/>
    <n v="1.2E-2"/>
    <s v="Normal Day"/>
  </r>
  <r>
    <x v="229"/>
    <n v="159"/>
    <x v="3"/>
    <x v="227"/>
    <n v="799"/>
    <s v="UPI"/>
    <x v="0"/>
    <n v="28"/>
    <d v="2025-03-29T00:00:00"/>
    <x v="2"/>
    <s v="South"/>
    <n v="0"/>
    <s v="Normal Day"/>
  </r>
  <r>
    <x v="230"/>
    <n v="262"/>
    <x v="30"/>
    <x v="228"/>
    <n v="149"/>
    <s v="UPI"/>
    <x v="0"/>
    <n v="67"/>
    <d v="2025-01-15T00:00:00"/>
    <x v="6"/>
    <s v="North"/>
    <n v="0"/>
    <s v="Normal Day"/>
  </r>
  <r>
    <x v="231"/>
    <n v="179"/>
    <x v="5"/>
    <x v="229"/>
    <n v="49"/>
    <s v="Wallet"/>
    <x v="0"/>
    <n v="93"/>
    <d v="2025-08-13T00:00:00"/>
    <x v="2"/>
    <s v="North"/>
    <n v="1.2E-2"/>
    <s v="Normal Day"/>
  </r>
  <r>
    <x v="232"/>
    <n v="76"/>
    <x v="0"/>
    <x v="230"/>
    <n v="299"/>
    <s v="UPI"/>
    <x v="0"/>
    <n v="13"/>
    <d v="2025-06-03T00:00:00"/>
    <x v="0"/>
    <s v="West"/>
    <n v="0"/>
    <s v="Normal Day"/>
  </r>
  <r>
    <x v="233"/>
    <n v="89"/>
    <x v="38"/>
    <x v="231"/>
    <n v="299"/>
    <s v="UPI"/>
    <x v="0"/>
    <n v="19"/>
    <d v="2024-06-07T00:00:00"/>
    <x v="5"/>
    <s v="North"/>
    <n v="0"/>
    <s v="Normal Day"/>
  </r>
  <r>
    <x v="234"/>
    <n v="91"/>
    <x v="33"/>
    <x v="232"/>
    <n v="49"/>
    <s v="UPI"/>
    <x v="0"/>
    <n v="59"/>
    <d v="2024-03-29T00:00:00"/>
    <x v="6"/>
    <s v="West"/>
    <n v="0"/>
    <s v="Normal Day"/>
  </r>
  <r>
    <x v="235"/>
    <n v="297"/>
    <x v="26"/>
    <x v="233"/>
    <n v="99"/>
    <s v="Card"/>
    <x v="2"/>
    <n v="87"/>
    <d v="2024-01-19T00:00:00"/>
    <x v="1"/>
    <s v="North"/>
    <n v="0.02"/>
    <s v="Normal Day"/>
  </r>
  <r>
    <x v="236"/>
    <n v="326"/>
    <x v="12"/>
    <x v="234"/>
    <n v="499"/>
    <s v="Card"/>
    <x v="0"/>
    <n v="41"/>
    <d v="2024-12-26T00:00:00"/>
    <x v="5"/>
    <s v="South"/>
    <n v="0.02"/>
    <s v="Normal Day"/>
  </r>
  <r>
    <x v="237"/>
    <n v="78"/>
    <x v="26"/>
    <x v="235"/>
    <n v="149"/>
    <s v="UPI"/>
    <x v="0"/>
    <n v="8"/>
    <d v="2025-08-16T00:00:00"/>
    <x v="1"/>
    <s v="North"/>
    <n v="0"/>
    <s v="Normal Day"/>
  </r>
  <r>
    <x v="238"/>
    <n v="156"/>
    <x v="7"/>
    <x v="236"/>
    <n v="2999"/>
    <s v="Card"/>
    <x v="0"/>
    <n v="75"/>
    <d v="2024-04-27T00:00:00"/>
    <x v="3"/>
    <s v="West"/>
    <n v="0.02"/>
    <s v="Normal Day"/>
  </r>
  <r>
    <x v="239"/>
    <n v="38"/>
    <x v="15"/>
    <x v="237"/>
    <n v="49"/>
    <s v="Wallet"/>
    <x v="1"/>
    <n v="59"/>
    <d v="2024-11-27T00:00:00"/>
    <x v="6"/>
    <s v="East"/>
    <n v="1.2E-2"/>
    <s v="Normal Day"/>
  </r>
  <r>
    <x v="240"/>
    <n v="189"/>
    <x v="13"/>
    <x v="238"/>
    <n v="99"/>
    <s v="UPI"/>
    <x v="1"/>
    <n v="9"/>
    <d v="2024-08-16T00:00:00"/>
    <x v="3"/>
    <s v="North"/>
    <n v="0"/>
    <s v="Normal Day"/>
  </r>
  <r>
    <x v="241"/>
    <n v="305"/>
    <x v="11"/>
    <x v="239"/>
    <n v="299"/>
    <s v="Card"/>
    <x v="0"/>
    <n v="49"/>
    <d v="2025-08-15T00:00:00"/>
    <x v="0"/>
    <s v="East"/>
    <n v="0.02"/>
    <s v="Normal Day"/>
  </r>
  <r>
    <x v="242"/>
    <n v="22"/>
    <x v="26"/>
    <x v="240"/>
    <n v="799"/>
    <s v="UPI"/>
    <x v="0"/>
    <n v="73"/>
    <d v="2024-01-31T00:00:00"/>
    <x v="1"/>
    <s v="North"/>
    <n v="0"/>
    <s v="Normal Day"/>
  </r>
  <r>
    <x v="243"/>
    <n v="310"/>
    <x v="20"/>
    <x v="241"/>
    <n v="49"/>
    <s v="Card"/>
    <x v="0"/>
    <n v="64"/>
    <d v="2024-03-23T00:00:00"/>
    <x v="0"/>
    <s v="East"/>
    <n v="0.02"/>
    <s v="Normal Day"/>
  </r>
  <r>
    <x v="244"/>
    <n v="53"/>
    <x v="3"/>
    <x v="242"/>
    <n v="299"/>
    <s v="UPI"/>
    <x v="0"/>
    <n v="91"/>
    <d v="2024-11-03T00:00:00"/>
    <x v="2"/>
    <s v="South"/>
    <n v="0"/>
    <s v="Normal Day"/>
  </r>
  <r>
    <x v="245"/>
    <n v="89"/>
    <x v="4"/>
    <x v="243"/>
    <n v="149"/>
    <s v="Card"/>
    <x v="0"/>
    <n v="31"/>
    <d v="2024-06-07T00:00:00"/>
    <x v="3"/>
    <s v="East"/>
    <n v="0.02"/>
    <s v="Normal Day"/>
  </r>
  <r>
    <x v="246"/>
    <n v="269"/>
    <x v="36"/>
    <x v="244"/>
    <n v="149"/>
    <s v="UPI"/>
    <x v="0"/>
    <n v="78"/>
    <d v="2025-01-29T00:00:00"/>
    <x v="2"/>
    <s v="South"/>
    <n v="0"/>
    <s v="Normal Day"/>
  </r>
  <r>
    <x v="247"/>
    <n v="145"/>
    <x v="14"/>
    <x v="245"/>
    <n v="799"/>
    <s v="UPI"/>
    <x v="0"/>
    <n v="52"/>
    <d v="2025-10-31T00:00:00"/>
    <x v="2"/>
    <s v="South"/>
    <n v="0"/>
    <s v="Normal Day"/>
  </r>
  <r>
    <x v="248"/>
    <n v="307"/>
    <x v="29"/>
    <x v="246"/>
    <n v="1499"/>
    <s v="UPI"/>
    <x v="0"/>
    <n v="80"/>
    <d v="2025-06-26T00:00:00"/>
    <x v="1"/>
    <s v="East"/>
    <n v="0"/>
    <s v="Normal Day"/>
  </r>
  <r>
    <x v="249"/>
    <n v="169"/>
    <x v="23"/>
    <x v="247"/>
    <n v="1499"/>
    <s v="Wallet"/>
    <x v="0"/>
    <n v="71"/>
    <d v="2024-10-08T00:00:00"/>
    <x v="6"/>
    <s v="East"/>
    <n v="1.2E-2"/>
    <s v="Normal Day"/>
  </r>
  <r>
    <x v="250"/>
    <n v="130"/>
    <x v="38"/>
    <x v="248"/>
    <n v="2999"/>
    <s v="Wallet"/>
    <x v="0"/>
    <n v="19"/>
    <d v="2025-04-16T00:00:00"/>
    <x v="5"/>
    <s v="North"/>
    <n v="1.2E-2"/>
    <s v="Normal Day"/>
  </r>
  <r>
    <x v="251"/>
    <n v="340"/>
    <x v="34"/>
    <x v="249"/>
    <n v="49"/>
    <s v="Card"/>
    <x v="0"/>
    <n v="44"/>
    <d v="2025-10-27T00:00:00"/>
    <x v="3"/>
    <s v="West"/>
    <n v="0.02"/>
    <s v="Normal Day"/>
  </r>
  <r>
    <x v="252"/>
    <n v="340"/>
    <x v="22"/>
    <x v="250"/>
    <n v="299"/>
    <s v="Card"/>
    <x v="0"/>
    <n v="16"/>
    <d v="2025-10-27T00:00:00"/>
    <x v="6"/>
    <s v="East"/>
    <n v="0.02"/>
    <s v="Normal Day"/>
  </r>
  <r>
    <x v="253"/>
    <n v="159"/>
    <x v="25"/>
    <x v="251"/>
    <n v="49"/>
    <s v="UPI"/>
    <x v="0"/>
    <n v="48"/>
    <d v="2025-03-29T00:00:00"/>
    <x v="5"/>
    <s v="East"/>
    <n v="0"/>
    <s v="Normal Day"/>
  </r>
  <r>
    <x v="254"/>
    <n v="66"/>
    <x v="36"/>
    <x v="252"/>
    <n v="799"/>
    <s v="UPI"/>
    <x v="0"/>
    <n v="11"/>
    <d v="2024-02-15T00:00:00"/>
    <x v="2"/>
    <s v="South"/>
    <n v="0"/>
    <s v="Normal Day"/>
  </r>
  <r>
    <x v="255"/>
    <n v="261"/>
    <x v="31"/>
    <x v="253"/>
    <n v="799"/>
    <s v="Card"/>
    <x v="0"/>
    <n v="2"/>
    <d v="2024-01-17T00:00:00"/>
    <x v="3"/>
    <s v="North"/>
    <n v="0.02"/>
    <s v="Normal Day"/>
  </r>
  <r>
    <x v="256"/>
    <n v="110"/>
    <x v="3"/>
    <x v="254"/>
    <n v="799"/>
    <s v="UPI"/>
    <x v="0"/>
    <n v="98"/>
    <d v="2024-08-03T00:00:00"/>
    <x v="2"/>
    <s v="South"/>
    <n v="0"/>
    <s v="Normal Day"/>
  </r>
  <r>
    <x v="257"/>
    <n v="71"/>
    <x v="34"/>
    <x v="255"/>
    <n v="49"/>
    <s v="UPI"/>
    <x v="0"/>
    <n v="9"/>
    <d v="2025-06-24T00:00:00"/>
    <x v="3"/>
    <s v="West"/>
    <n v="0"/>
    <s v="Normal Day"/>
  </r>
  <r>
    <x v="258"/>
    <n v="277"/>
    <x v="36"/>
    <x v="256"/>
    <n v="49"/>
    <s v="UPI"/>
    <x v="0"/>
    <n v="4"/>
    <d v="2025-08-22T00:00:00"/>
    <x v="2"/>
    <s v="South"/>
    <n v="0"/>
    <s v="Normal Day"/>
  </r>
  <r>
    <x v="259"/>
    <n v="317"/>
    <x v="39"/>
    <x v="257"/>
    <n v="499"/>
    <s v="Wallet"/>
    <x v="0"/>
    <n v="76"/>
    <d v="2024-07-20T00:00:00"/>
    <x v="1"/>
    <s v="North"/>
    <n v="1.2E-2"/>
    <s v="Normal Day"/>
  </r>
  <r>
    <x v="260"/>
    <n v="93"/>
    <x v="12"/>
    <x v="258"/>
    <n v="299"/>
    <s v="UPI"/>
    <x v="0"/>
    <n v="21"/>
    <d v="2024-07-20T00:00:00"/>
    <x v="5"/>
    <s v="South"/>
    <n v="0"/>
    <s v="Normal Day"/>
  </r>
  <r>
    <x v="261"/>
    <n v="211"/>
    <x v="31"/>
    <x v="259"/>
    <n v="99"/>
    <s v="Netbanking"/>
    <x v="0"/>
    <n v="86"/>
    <d v="2024-10-29T00:00:00"/>
    <x v="3"/>
    <s v="North"/>
    <n v="1.4999999999999999E-2"/>
    <s v="Normal Day"/>
  </r>
  <r>
    <x v="262"/>
    <n v="313"/>
    <x v="13"/>
    <x v="260"/>
    <n v="149"/>
    <s v="UPI"/>
    <x v="0"/>
    <n v="96"/>
    <d v="2025-05-08T00:00:00"/>
    <x v="3"/>
    <s v="North"/>
    <n v="0"/>
    <s v="Normal Day"/>
  </r>
  <r>
    <x v="263"/>
    <n v="274"/>
    <x v="0"/>
    <x v="261"/>
    <n v="49"/>
    <s v="Wallet"/>
    <x v="1"/>
    <n v="39"/>
    <d v="2024-08-20T00:00:00"/>
    <x v="0"/>
    <s v="West"/>
    <n v="1.2E-2"/>
    <s v="Normal Day"/>
  </r>
  <r>
    <x v="264"/>
    <n v="100"/>
    <x v="31"/>
    <x v="262"/>
    <n v="299"/>
    <s v="UPI"/>
    <x v="0"/>
    <n v="86"/>
    <d v="2025-03-31T00:00:00"/>
    <x v="3"/>
    <s v="North"/>
    <n v="0"/>
    <s v="Normal Day"/>
  </r>
  <r>
    <x v="265"/>
    <n v="145"/>
    <x v="14"/>
    <x v="263"/>
    <n v="2999"/>
    <s v="Wallet"/>
    <x v="0"/>
    <n v="64"/>
    <d v="2025-10-31T00:00:00"/>
    <x v="2"/>
    <s v="South"/>
    <n v="1.2E-2"/>
    <s v="Normal Day"/>
  </r>
  <r>
    <x v="266"/>
    <n v="103"/>
    <x v="38"/>
    <x v="264"/>
    <n v="2999"/>
    <s v="Wallet"/>
    <x v="0"/>
    <n v="17"/>
    <d v="2025-09-06T00:00:00"/>
    <x v="5"/>
    <s v="North"/>
    <n v="1.2E-2"/>
    <s v="Normal Day"/>
  </r>
  <r>
    <x v="267"/>
    <n v="329"/>
    <x v="20"/>
    <x v="265"/>
    <n v="299"/>
    <s v="Wallet"/>
    <x v="0"/>
    <n v="47"/>
    <d v="2025-03-09T00:00:00"/>
    <x v="0"/>
    <s v="East"/>
    <n v="1.2E-2"/>
    <s v="Normal Day"/>
  </r>
  <r>
    <x v="268"/>
    <n v="265"/>
    <x v="30"/>
    <x v="266"/>
    <n v="499"/>
    <s v="Netbanking"/>
    <x v="0"/>
    <n v="36"/>
    <d v="2024-10-23T00:00:00"/>
    <x v="6"/>
    <s v="North"/>
    <n v="1.4999999999999999E-2"/>
    <s v="Normal Day"/>
  </r>
  <r>
    <x v="269"/>
    <n v="231"/>
    <x v="11"/>
    <x v="267"/>
    <n v="149"/>
    <s v="UPI"/>
    <x v="1"/>
    <n v="18"/>
    <d v="2024-08-01T00:00:00"/>
    <x v="0"/>
    <s v="East"/>
    <n v="0"/>
    <s v="Normal Day"/>
  </r>
  <r>
    <x v="270"/>
    <n v="114"/>
    <x v="26"/>
    <x v="268"/>
    <n v="799"/>
    <s v="UPI"/>
    <x v="2"/>
    <n v="44"/>
    <d v="2024-06-10T00:00:00"/>
    <x v="1"/>
    <s v="North"/>
    <n v="0"/>
    <s v="Normal Day"/>
  </r>
  <r>
    <x v="271"/>
    <n v="28"/>
    <x v="22"/>
    <x v="269"/>
    <n v="1499"/>
    <s v="UPI"/>
    <x v="1"/>
    <n v="64"/>
    <d v="2025-03-06T00:00:00"/>
    <x v="6"/>
    <s v="East"/>
    <n v="0"/>
    <s v="Normal Day"/>
  </r>
  <r>
    <x v="272"/>
    <n v="42"/>
    <x v="31"/>
    <x v="270"/>
    <n v="149"/>
    <s v="UPI"/>
    <x v="0"/>
    <n v="28"/>
    <d v="2024-07-15T00:00:00"/>
    <x v="3"/>
    <s v="North"/>
    <n v="0"/>
    <s v="Normal Day"/>
  </r>
  <r>
    <x v="273"/>
    <n v="51"/>
    <x v="3"/>
    <x v="271"/>
    <n v="799"/>
    <s v="UPI"/>
    <x v="0"/>
    <n v="18"/>
    <d v="2024-04-01T00:00:00"/>
    <x v="2"/>
    <s v="South"/>
    <n v="0"/>
    <s v="Normal Day"/>
  </r>
  <r>
    <x v="274"/>
    <n v="242"/>
    <x v="39"/>
    <x v="272"/>
    <n v="149"/>
    <s v="UPI"/>
    <x v="0"/>
    <n v="97"/>
    <d v="2024-01-11T00:00:00"/>
    <x v="1"/>
    <s v="North"/>
    <n v="0"/>
    <s v="Normal Day"/>
  </r>
  <r>
    <x v="275"/>
    <n v="316"/>
    <x v="37"/>
    <x v="273"/>
    <n v="149"/>
    <s v="UPI"/>
    <x v="0"/>
    <n v="10"/>
    <d v="2024-07-03T00:00:00"/>
    <x v="1"/>
    <s v="South"/>
    <n v="0"/>
    <s v="Normal Day"/>
  </r>
  <r>
    <x v="276"/>
    <n v="77"/>
    <x v="25"/>
    <x v="274"/>
    <n v="149"/>
    <s v="UPI"/>
    <x v="0"/>
    <n v="93"/>
    <d v="2024-07-01T00:00:00"/>
    <x v="5"/>
    <s v="East"/>
    <n v="0"/>
    <s v="Normal Day"/>
  </r>
  <r>
    <x v="277"/>
    <n v="57"/>
    <x v="13"/>
    <x v="275"/>
    <n v="49"/>
    <s v="UPI"/>
    <x v="0"/>
    <n v="30"/>
    <d v="2024-06-09T00:00:00"/>
    <x v="3"/>
    <s v="North"/>
    <n v="0"/>
    <s v="Normal Day"/>
  </r>
  <r>
    <x v="278"/>
    <n v="123"/>
    <x v="1"/>
    <x v="276"/>
    <n v="149"/>
    <s v="Netbanking"/>
    <x v="0"/>
    <n v="81"/>
    <d v="2024-02-06T00:00:00"/>
    <x v="1"/>
    <s v="North"/>
    <n v="1.4999999999999999E-2"/>
    <s v="Normal Day"/>
  </r>
  <r>
    <x v="279"/>
    <n v="33"/>
    <x v="30"/>
    <x v="277"/>
    <n v="299"/>
    <s v="Wallet"/>
    <x v="0"/>
    <n v="63"/>
    <d v="2025-03-08T00:00:00"/>
    <x v="6"/>
    <s v="North"/>
    <n v="1.2E-2"/>
    <s v="Normal Day"/>
  </r>
  <r>
    <x v="280"/>
    <n v="324"/>
    <x v="11"/>
    <x v="278"/>
    <n v="499"/>
    <s v="UPI"/>
    <x v="0"/>
    <n v="73"/>
    <d v="2025-10-18T00:00:00"/>
    <x v="0"/>
    <s v="East"/>
    <n v="0"/>
    <s v="Normal Day"/>
  </r>
  <r>
    <x v="281"/>
    <n v="150"/>
    <x v="10"/>
    <x v="279"/>
    <n v="49"/>
    <s v="UPI"/>
    <x v="1"/>
    <n v="0"/>
    <d v="2025-02-20T00:00:00"/>
    <x v="1"/>
    <s v="South"/>
    <n v="0"/>
    <s v="Normal Day"/>
  </r>
  <r>
    <x v="282"/>
    <n v="293"/>
    <x v="1"/>
    <x v="280"/>
    <n v="4999"/>
    <s v="UPI"/>
    <x v="0"/>
    <n v="23"/>
    <d v="2024-03-16T00:00:00"/>
    <x v="1"/>
    <s v="North"/>
    <n v="0"/>
    <s v="Normal Day"/>
  </r>
  <r>
    <x v="283"/>
    <n v="269"/>
    <x v="31"/>
    <x v="281"/>
    <n v="49"/>
    <s v="Wallet"/>
    <x v="0"/>
    <n v="8"/>
    <d v="2025-01-29T00:00:00"/>
    <x v="3"/>
    <s v="North"/>
    <n v="1.2E-2"/>
    <s v="Normal Day"/>
  </r>
  <r>
    <x v="284"/>
    <n v="260"/>
    <x v="25"/>
    <x v="282"/>
    <n v="1499"/>
    <s v="UPI"/>
    <x v="0"/>
    <n v="2"/>
    <d v="2025-05-07T00:00:00"/>
    <x v="5"/>
    <s v="East"/>
    <n v="0"/>
    <s v="Normal Day"/>
  </r>
  <r>
    <x v="285"/>
    <n v="326"/>
    <x v="14"/>
    <x v="283"/>
    <n v="49"/>
    <s v="UPI"/>
    <x v="0"/>
    <n v="47"/>
    <d v="2024-12-26T00:00:00"/>
    <x v="2"/>
    <s v="South"/>
    <n v="0"/>
    <s v="Normal Day"/>
  </r>
  <r>
    <x v="286"/>
    <n v="183"/>
    <x v="32"/>
    <x v="284"/>
    <n v="49"/>
    <s v="Card"/>
    <x v="0"/>
    <n v="44"/>
    <d v="2024-06-01T00:00:00"/>
    <x v="4"/>
    <s v="South"/>
    <n v="0.02"/>
    <s v="Normal Day"/>
  </r>
  <r>
    <x v="287"/>
    <n v="322"/>
    <x v="23"/>
    <x v="285"/>
    <n v="299"/>
    <s v="UPI"/>
    <x v="0"/>
    <n v="98"/>
    <d v="2024-09-25T00:00:00"/>
    <x v="6"/>
    <s v="East"/>
    <n v="0"/>
    <s v="Normal Day"/>
  </r>
  <r>
    <x v="288"/>
    <n v="171"/>
    <x v="39"/>
    <x v="286"/>
    <n v="299"/>
    <s v="UPI"/>
    <x v="0"/>
    <n v="5"/>
    <d v="2025-10-08T00:00:00"/>
    <x v="1"/>
    <s v="North"/>
    <n v="0"/>
    <s v="Normal Day"/>
  </r>
  <r>
    <x v="289"/>
    <n v="330"/>
    <x v="9"/>
    <x v="287"/>
    <n v="1499"/>
    <s v="Netbanking"/>
    <x v="0"/>
    <n v="99"/>
    <d v="2025-06-20T00:00:00"/>
    <x v="1"/>
    <s v="East"/>
    <n v="1.4999999999999999E-2"/>
    <s v="Normal Day"/>
  </r>
  <r>
    <x v="290"/>
    <n v="246"/>
    <x v="9"/>
    <x v="288"/>
    <n v="99"/>
    <s v="Wallet"/>
    <x v="0"/>
    <n v="17"/>
    <d v="2024-04-28T00:00:00"/>
    <x v="1"/>
    <s v="East"/>
    <n v="1.2E-2"/>
    <s v="Normal Day"/>
  </r>
  <r>
    <x v="291"/>
    <n v="235"/>
    <x v="4"/>
    <x v="289"/>
    <n v="49"/>
    <s v="UPI"/>
    <x v="0"/>
    <n v="37"/>
    <d v="2025-10-05T00:00:00"/>
    <x v="3"/>
    <s v="East"/>
    <n v="0"/>
    <s v="Normal Day"/>
  </r>
  <r>
    <x v="292"/>
    <n v="103"/>
    <x v="4"/>
    <x v="290"/>
    <n v="499"/>
    <s v="UPI"/>
    <x v="0"/>
    <n v="40"/>
    <d v="2025-09-06T00:00:00"/>
    <x v="3"/>
    <s v="East"/>
    <n v="0"/>
    <s v="Normal Day"/>
  </r>
  <r>
    <x v="293"/>
    <n v="204"/>
    <x v="8"/>
    <x v="291"/>
    <n v="99"/>
    <s v="Wallet"/>
    <x v="0"/>
    <n v="60"/>
    <d v="2024-07-28T00:00:00"/>
    <x v="4"/>
    <s v="East"/>
    <n v="1.2E-2"/>
    <s v="Normal Day"/>
  </r>
  <r>
    <x v="294"/>
    <n v="332"/>
    <x v="6"/>
    <x v="292"/>
    <n v="49"/>
    <s v="Card"/>
    <x v="0"/>
    <n v="36"/>
    <d v="2024-05-17T00:00:00"/>
    <x v="2"/>
    <s v="East"/>
    <n v="0.02"/>
    <s v="Normal Day"/>
  </r>
  <r>
    <x v="295"/>
    <n v="336"/>
    <x v="3"/>
    <x v="293"/>
    <n v="499"/>
    <s v="UPI"/>
    <x v="0"/>
    <n v="34"/>
    <d v="2025-08-10T00:00:00"/>
    <x v="2"/>
    <s v="South"/>
    <n v="0"/>
    <s v="Normal Day"/>
  </r>
  <r>
    <x v="296"/>
    <n v="205"/>
    <x v="26"/>
    <x v="294"/>
    <n v="99"/>
    <s v="Wallet"/>
    <x v="0"/>
    <n v="49"/>
    <d v="2025-04-28T00:00:00"/>
    <x v="1"/>
    <s v="North"/>
    <n v="1.2E-2"/>
    <s v="Normal Day"/>
  </r>
  <r>
    <x v="297"/>
    <n v="255"/>
    <x v="31"/>
    <x v="295"/>
    <n v="799"/>
    <s v="UPI"/>
    <x v="0"/>
    <n v="66"/>
    <d v="2024-04-14T00:00:00"/>
    <x v="3"/>
    <s v="North"/>
    <n v="0"/>
    <s v="Normal Day"/>
  </r>
  <r>
    <x v="298"/>
    <n v="218"/>
    <x v="18"/>
    <x v="296"/>
    <n v="99"/>
    <s v="UPI"/>
    <x v="0"/>
    <n v="55"/>
    <d v="2024-07-22T00:00:00"/>
    <x v="6"/>
    <s v="South"/>
    <n v="0"/>
    <s v="Normal Day"/>
  </r>
  <r>
    <x v="299"/>
    <n v="151"/>
    <x v="17"/>
    <x v="297"/>
    <n v="49"/>
    <s v="UPI"/>
    <x v="0"/>
    <n v="13"/>
    <d v="2024-01-17T00:00:00"/>
    <x v="6"/>
    <s v="East"/>
    <n v="0"/>
    <s v="Normal Day"/>
  </r>
  <r>
    <x v="300"/>
    <n v="152"/>
    <x v="15"/>
    <x v="298"/>
    <n v="49"/>
    <s v="UPI"/>
    <x v="0"/>
    <n v="57"/>
    <d v="2024-07-23T00:00:00"/>
    <x v="6"/>
    <s v="East"/>
    <n v="0"/>
    <s v="Normal Day"/>
  </r>
  <r>
    <x v="301"/>
    <n v="86"/>
    <x v="26"/>
    <x v="299"/>
    <n v="149"/>
    <s v="Card"/>
    <x v="0"/>
    <n v="44"/>
    <d v="2024-11-15T00:00:00"/>
    <x v="1"/>
    <s v="North"/>
    <n v="0.02"/>
    <s v="Normal Day"/>
  </r>
  <r>
    <x v="302"/>
    <n v="181"/>
    <x v="12"/>
    <x v="300"/>
    <n v="149"/>
    <s v="UPI"/>
    <x v="0"/>
    <n v="55"/>
    <d v="2025-05-20T00:00:00"/>
    <x v="5"/>
    <s v="South"/>
    <n v="0"/>
    <s v="Normal Day"/>
  </r>
  <r>
    <x v="303"/>
    <n v="30"/>
    <x v="32"/>
    <x v="301"/>
    <n v="299"/>
    <s v="UPI"/>
    <x v="0"/>
    <n v="85"/>
    <d v="2025-03-25T00:00:00"/>
    <x v="4"/>
    <s v="South"/>
    <n v="0"/>
    <s v="Normal Day"/>
  </r>
  <r>
    <x v="304"/>
    <n v="263"/>
    <x v="2"/>
    <x v="302"/>
    <n v="149"/>
    <s v="Wallet"/>
    <x v="0"/>
    <n v="3"/>
    <d v="2025-04-02T00:00:00"/>
    <x v="1"/>
    <s v="North"/>
    <n v="1.2E-2"/>
    <s v="Normal Day"/>
  </r>
  <r>
    <x v="305"/>
    <n v="225"/>
    <x v="4"/>
    <x v="303"/>
    <n v="99"/>
    <s v="Netbanking"/>
    <x v="0"/>
    <n v="16"/>
    <d v="2024-05-26T00:00:00"/>
    <x v="3"/>
    <s v="East"/>
    <n v="1.4999999999999999E-2"/>
    <s v="Normal Day"/>
  </r>
  <r>
    <x v="306"/>
    <n v="331"/>
    <x v="31"/>
    <x v="304"/>
    <n v="49"/>
    <s v="Card"/>
    <x v="0"/>
    <n v="46"/>
    <d v="2024-09-06T00:00:00"/>
    <x v="3"/>
    <s v="North"/>
    <n v="0.02"/>
    <s v="Normal Day"/>
  </r>
  <r>
    <x v="307"/>
    <n v="310"/>
    <x v="34"/>
    <x v="305"/>
    <n v="1499"/>
    <s v="Card"/>
    <x v="0"/>
    <n v="86"/>
    <d v="2024-03-23T00:00:00"/>
    <x v="3"/>
    <s v="West"/>
    <n v="0.02"/>
    <s v="Normal Day"/>
  </r>
  <r>
    <x v="308"/>
    <n v="228"/>
    <x v="32"/>
    <x v="306"/>
    <n v="49"/>
    <s v="UPI"/>
    <x v="0"/>
    <n v="73"/>
    <d v="2025-10-05T00:00:00"/>
    <x v="4"/>
    <s v="South"/>
    <n v="0"/>
    <s v="Normal Day"/>
  </r>
  <r>
    <x v="309"/>
    <n v="204"/>
    <x v="17"/>
    <x v="307"/>
    <n v="499"/>
    <s v="UPI"/>
    <x v="0"/>
    <n v="83"/>
    <d v="2024-07-28T00:00:00"/>
    <x v="6"/>
    <s v="East"/>
    <n v="0"/>
    <s v="Normal Day"/>
  </r>
  <r>
    <x v="310"/>
    <n v="14"/>
    <x v="9"/>
    <x v="79"/>
    <n v="799"/>
    <s v="Netbanking"/>
    <x v="0"/>
    <n v="63"/>
    <d v="2025-01-13T00:00:00"/>
    <x v="1"/>
    <s v="East"/>
    <n v="1.4999999999999999E-2"/>
    <s v="Normal Day"/>
  </r>
  <r>
    <x v="311"/>
    <n v="288"/>
    <x v="30"/>
    <x v="308"/>
    <n v="49"/>
    <s v="UPI"/>
    <x v="0"/>
    <n v="33"/>
    <d v="2025-02-14T00:00:00"/>
    <x v="6"/>
    <s v="North"/>
    <n v="0"/>
    <s v="Normal Day"/>
  </r>
  <r>
    <x v="312"/>
    <n v="229"/>
    <x v="16"/>
    <x v="309"/>
    <n v="1499"/>
    <s v="UPI"/>
    <x v="0"/>
    <n v="78"/>
    <d v="2025-10-12T00:00:00"/>
    <x v="3"/>
    <s v="East"/>
    <n v="0"/>
    <s v="Normal Day"/>
  </r>
  <r>
    <x v="313"/>
    <n v="252"/>
    <x v="6"/>
    <x v="310"/>
    <n v="99"/>
    <s v="Wallet"/>
    <x v="0"/>
    <n v="15"/>
    <d v="2025-09-10T00:00:00"/>
    <x v="2"/>
    <s v="East"/>
    <n v="1.2E-2"/>
    <s v="Normal Day"/>
  </r>
  <r>
    <x v="314"/>
    <n v="89"/>
    <x v="26"/>
    <x v="311"/>
    <n v="799"/>
    <s v="UPI"/>
    <x v="0"/>
    <n v="11"/>
    <d v="2024-06-07T00:00:00"/>
    <x v="1"/>
    <s v="North"/>
    <n v="0"/>
    <s v="Normal Day"/>
  </r>
  <r>
    <x v="315"/>
    <n v="164"/>
    <x v="5"/>
    <x v="312"/>
    <n v="49"/>
    <s v="Netbanking"/>
    <x v="0"/>
    <n v="90"/>
    <d v="2025-08-25T00:00:00"/>
    <x v="2"/>
    <s v="North"/>
    <n v="1.4999999999999999E-2"/>
    <s v="Normal Day"/>
  </r>
  <r>
    <x v="316"/>
    <n v="149"/>
    <x v="15"/>
    <x v="313"/>
    <n v="299"/>
    <s v="Wallet"/>
    <x v="0"/>
    <n v="20"/>
    <d v="2025-04-03T00:00:00"/>
    <x v="6"/>
    <s v="East"/>
    <n v="1.2E-2"/>
    <s v="Normal Day"/>
  </r>
  <r>
    <x v="317"/>
    <n v="327"/>
    <x v="9"/>
    <x v="314"/>
    <n v="49"/>
    <s v="Netbanking"/>
    <x v="0"/>
    <n v="46"/>
    <d v="2025-07-22T00:00:00"/>
    <x v="1"/>
    <s v="East"/>
    <n v="1.4999999999999999E-2"/>
    <s v="Normal Day"/>
  </r>
  <r>
    <x v="318"/>
    <n v="103"/>
    <x v="39"/>
    <x v="315"/>
    <n v="149"/>
    <s v="UPI"/>
    <x v="0"/>
    <n v="30"/>
    <d v="2025-09-06T00:00:00"/>
    <x v="1"/>
    <s v="North"/>
    <n v="0"/>
    <s v="Normal Day"/>
  </r>
  <r>
    <x v="319"/>
    <n v="185"/>
    <x v="25"/>
    <x v="316"/>
    <n v="49"/>
    <s v="Wallet"/>
    <x v="0"/>
    <n v="73"/>
    <d v="2025-07-12T00:00:00"/>
    <x v="5"/>
    <s v="East"/>
    <n v="1.2E-2"/>
    <s v="Normal Day"/>
  </r>
  <r>
    <x v="320"/>
    <n v="283"/>
    <x v="39"/>
    <x v="317"/>
    <n v="299"/>
    <s v="UPI"/>
    <x v="0"/>
    <n v="78"/>
    <d v="2025-07-20T00:00:00"/>
    <x v="1"/>
    <s v="North"/>
    <n v="0"/>
    <s v="Normal Day"/>
  </r>
  <r>
    <x v="321"/>
    <n v="159"/>
    <x v="22"/>
    <x v="318"/>
    <n v="99"/>
    <s v="UPI"/>
    <x v="0"/>
    <n v="91"/>
    <d v="2025-03-29T00:00:00"/>
    <x v="6"/>
    <s v="East"/>
    <n v="0"/>
    <s v="Normal Day"/>
  </r>
  <r>
    <x v="322"/>
    <n v="211"/>
    <x v="1"/>
    <x v="319"/>
    <n v="99"/>
    <s v="Wallet"/>
    <x v="0"/>
    <n v="73"/>
    <d v="2024-10-29T00:00:00"/>
    <x v="1"/>
    <s v="North"/>
    <n v="1.2E-2"/>
    <s v="Normal Day"/>
  </r>
  <r>
    <x v="323"/>
    <n v="329"/>
    <x v="32"/>
    <x v="320"/>
    <n v="499"/>
    <s v="Netbanking"/>
    <x v="0"/>
    <n v="57"/>
    <d v="2025-03-09T00:00:00"/>
    <x v="4"/>
    <s v="South"/>
    <n v="1.4999999999999999E-2"/>
    <s v="Normal Day"/>
  </r>
  <r>
    <x v="324"/>
    <n v="177"/>
    <x v="39"/>
    <x v="321"/>
    <n v="99"/>
    <s v="UPI"/>
    <x v="0"/>
    <n v="99"/>
    <d v="2024-10-16T00:00:00"/>
    <x v="1"/>
    <s v="North"/>
    <n v="0"/>
    <s v="Normal Day"/>
  </r>
  <r>
    <x v="325"/>
    <n v="94"/>
    <x v="39"/>
    <x v="322"/>
    <n v="299"/>
    <s v="UPI"/>
    <x v="0"/>
    <n v="55"/>
    <d v="2025-11-13T00:00:00"/>
    <x v="1"/>
    <s v="North"/>
    <n v="0"/>
    <s v="Normal Day"/>
  </r>
  <r>
    <x v="326"/>
    <n v="64"/>
    <x v="36"/>
    <x v="323"/>
    <n v="299"/>
    <s v="UPI"/>
    <x v="0"/>
    <n v="19"/>
    <d v="2024-06-01T00:00:00"/>
    <x v="2"/>
    <s v="South"/>
    <n v="0"/>
    <s v="Normal Day"/>
  </r>
  <r>
    <x v="327"/>
    <n v="166"/>
    <x v="19"/>
    <x v="324"/>
    <n v="49"/>
    <s v="UPI"/>
    <x v="0"/>
    <n v="44"/>
    <d v="2024-09-17T00:00:00"/>
    <x v="2"/>
    <s v="North"/>
    <n v="0"/>
    <s v="Normal Day"/>
  </r>
  <r>
    <x v="328"/>
    <n v="41"/>
    <x v="28"/>
    <x v="325"/>
    <n v="299"/>
    <s v="Wallet"/>
    <x v="0"/>
    <n v="25"/>
    <d v="2024-06-29T00:00:00"/>
    <x v="3"/>
    <s v="North"/>
    <n v="1.2E-2"/>
    <s v="Normal Day"/>
  </r>
  <r>
    <x v="329"/>
    <n v="65"/>
    <x v="15"/>
    <x v="326"/>
    <n v="99"/>
    <s v="Card"/>
    <x v="0"/>
    <n v="78"/>
    <d v="2025-03-04T00:00:00"/>
    <x v="6"/>
    <s v="East"/>
    <n v="0.02"/>
    <s v="Normal Day"/>
  </r>
  <r>
    <x v="330"/>
    <n v="329"/>
    <x v="2"/>
    <x v="327"/>
    <n v="499"/>
    <s v="UPI"/>
    <x v="0"/>
    <n v="75"/>
    <d v="2025-03-09T00:00:00"/>
    <x v="1"/>
    <s v="North"/>
    <n v="0"/>
    <s v="Normal Day"/>
  </r>
  <r>
    <x v="331"/>
    <n v="338"/>
    <x v="12"/>
    <x v="328"/>
    <n v="149"/>
    <s v="UPI"/>
    <x v="0"/>
    <n v="92"/>
    <d v="2025-07-03T00:00:00"/>
    <x v="5"/>
    <s v="South"/>
    <n v="0"/>
    <s v="Normal Day"/>
  </r>
  <r>
    <x v="332"/>
    <n v="289"/>
    <x v="4"/>
    <x v="329"/>
    <n v="49"/>
    <s v="Netbanking"/>
    <x v="0"/>
    <n v="3"/>
    <d v="2025-06-24T00:00:00"/>
    <x v="3"/>
    <s v="East"/>
    <n v="1.4999999999999999E-2"/>
    <s v="Normal Day"/>
  </r>
  <r>
    <x v="333"/>
    <n v="296"/>
    <x v="28"/>
    <x v="330"/>
    <n v="99"/>
    <s v="UPI"/>
    <x v="0"/>
    <n v="83"/>
    <d v="2025-11-24T00:00:00"/>
    <x v="3"/>
    <s v="North"/>
    <n v="0"/>
    <s v="Normal Day"/>
  </r>
  <r>
    <x v="334"/>
    <n v="317"/>
    <x v="27"/>
    <x v="331"/>
    <n v="499"/>
    <s v="Card"/>
    <x v="0"/>
    <n v="63"/>
    <d v="2024-07-20T00:00:00"/>
    <x v="3"/>
    <s v="West"/>
    <n v="0.02"/>
    <s v="Normal Day"/>
  </r>
  <r>
    <x v="335"/>
    <n v="149"/>
    <x v="15"/>
    <x v="332"/>
    <n v="499"/>
    <s v="Card"/>
    <x v="0"/>
    <n v="61"/>
    <d v="2025-04-03T00:00:00"/>
    <x v="6"/>
    <s v="East"/>
    <n v="0.02"/>
    <s v="Normal Day"/>
  </r>
  <r>
    <x v="336"/>
    <n v="153"/>
    <x v="24"/>
    <x v="333"/>
    <n v="299"/>
    <s v="UPI"/>
    <x v="0"/>
    <n v="9"/>
    <d v="2025-04-27T00:00:00"/>
    <x v="2"/>
    <s v="West"/>
    <n v="0"/>
    <s v="Normal Day"/>
  </r>
  <r>
    <x v="337"/>
    <n v="226"/>
    <x v="1"/>
    <x v="334"/>
    <n v="2999"/>
    <s v="UPI"/>
    <x v="2"/>
    <n v="61"/>
    <d v="2025-10-01T00:00:00"/>
    <x v="1"/>
    <s v="North"/>
    <n v="0"/>
    <s v="Normal Day"/>
  </r>
  <r>
    <x v="338"/>
    <n v="311"/>
    <x v="34"/>
    <x v="335"/>
    <n v="2999"/>
    <s v="UPI"/>
    <x v="0"/>
    <n v="40"/>
    <d v="2025-05-01T00:00:00"/>
    <x v="3"/>
    <s v="West"/>
    <n v="0"/>
    <s v="Normal Day"/>
  </r>
  <r>
    <x v="339"/>
    <n v="177"/>
    <x v="22"/>
    <x v="336"/>
    <n v="1499"/>
    <s v="UPI"/>
    <x v="0"/>
    <n v="16"/>
    <d v="2024-10-16T00:00:00"/>
    <x v="6"/>
    <s v="East"/>
    <n v="0"/>
    <s v="Normal Day"/>
  </r>
  <r>
    <x v="340"/>
    <n v="288"/>
    <x v="23"/>
    <x v="337"/>
    <n v="99"/>
    <s v="Netbanking"/>
    <x v="0"/>
    <n v="40"/>
    <d v="2025-02-14T00:00:00"/>
    <x v="6"/>
    <s v="East"/>
    <n v="1.4999999999999999E-2"/>
    <s v="Normal Day"/>
  </r>
  <r>
    <x v="341"/>
    <n v="137"/>
    <x v="26"/>
    <x v="338"/>
    <n v="2999"/>
    <s v="UPI"/>
    <x v="1"/>
    <n v="31"/>
    <d v="2024-04-09T00:00:00"/>
    <x v="1"/>
    <s v="North"/>
    <n v="0"/>
    <s v="Normal Day"/>
  </r>
  <r>
    <x v="342"/>
    <n v="149"/>
    <x v="14"/>
    <x v="339"/>
    <n v="1499"/>
    <s v="UPI"/>
    <x v="0"/>
    <n v="78"/>
    <d v="2025-04-03T00:00:00"/>
    <x v="2"/>
    <s v="South"/>
    <n v="0"/>
    <s v="Normal Day"/>
  </r>
  <r>
    <x v="343"/>
    <n v="82"/>
    <x v="17"/>
    <x v="340"/>
    <n v="49"/>
    <s v="Wallet"/>
    <x v="0"/>
    <n v="73"/>
    <d v="2024-07-01T00:00:00"/>
    <x v="6"/>
    <s v="East"/>
    <n v="1.2E-2"/>
    <s v="Normal Day"/>
  </r>
  <r>
    <x v="344"/>
    <n v="82"/>
    <x v="33"/>
    <x v="341"/>
    <n v="49"/>
    <s v="UPI"/>
    <x v="0"/>
    <n v="65"/>
    <d v="2024-07-01T00:00:00"/>
    <x v="6"/>
    <s v="West"/>
    <n v="0"/>
    <s v="Normal Day"/>
  </r>
  <r>
    <x v="345"/>
    <n v="158"/>
    <x v="33"/>
    <x v="342"/>
    <n v="99"/>
    <s v="Wallet"/>
    <x v="0"/>
    <n v="2"/>
    <d v="2024-08-05T00:00:00"/>
    <x v="6"/>
    <s v="West"/>
    <n v="1.2E-2"/>
    <s v="Normal Day"/>
  </r>
  <r>
    <x v="346"/>
    <n v="235"/>
    <x v="0"/>
    <x v="343"/>
    <n v="99"/>
    <s v="UPI"/>
    <x v="0"/>
    <n v="27"/>
    <d v="2025-10-05T00:00:00"/>
    <x v="0"/>
    <s v="West"/>
    <n v="0"/>
    <s v="Normal Day"/>
  </r>
  <r>
    <x v="347"/>
    <n v="26"/>
    <x v="13"/>
    <x v="344"/>
    <n v="99"/>
    <s v="Wallet"/>
    <x v="0"/>
    <n v="63"/>
    <d v="2024-08-20T00:00:00"/>
    <x v="3"/>
    <s v="North"/>
    <n v="1.2E-2"/>
    <s v="Normal Day"/>
  </r>
  <r>
    <x v="348"/>
    <n v="241"/>
    <x v="13"/>
    <x v="345"/>
    <n v="299"/>
    <s v="UPI"/>
    <x v="0"/>
    <n v="68"/>
    <d v="2025-09-24T00:00:00"/>
    <x v="3"/>
    <s v="North"/>
    <n v="0"/>
    <s v="Normal Day"/>
  </r>
  <r>
    <x v="349"/>
    <n v="69"/>
    <x v="28"/>
    <x v="346"/>
    <n v="1499"/>
    <s v="UPI"/>
    <x v="0"/>
    <n v="93"/>
    <d v="2025-02-05T00:00:00"/>
    <x v="3"/>
    <s v="North"/>
    <n v="0"/>
    <s v="Normal Day"/>
  </r>
  <r>
    <x v="350"/>
    <n v="24"/>
    <x v="22"/>
    <x v="347"/>
    <n v="299"/>
    <s v="Netbanking"/>
    <x v="0"/>
    <n v="6"/>
    <d v="2024-10-23T00:00:00"/>
    <x v="6"/>
    <s v="East"/>
    <n v="1.4999999999999999E-2"/>
    <s v="Normal Day"/>
  </r>
  <r>
    <x v="351"/>
    <n v="186"/>
    <x v="25"/>
    <x v="348"/>
    <n v="4999"/>
    <s v="UPI"/>
    <x v="0"/>
    <n v="36"/>
    <d v="2024-09-26T00:00:00"/>
    <x v="5"/>
    <s v="East"/>
    <n v="0"/>
    <s v="Normal Day"/>
  </r>
  <r>
    <x v="352"/>
    <n v="231"/>
    <x v="25"/>
    <x v="343"/>
    <n v="149"/>
    <s v="UPI"/>
    <x v="0"/>
    <n v="35"/>
    <d v="2024-08-01T00:00:00"/>
    <x v="5"/>
    <s v="East"/>
    <n v="0"/>
    <s v="Normal Day"/>
  </r>
  <r>
    <x v="353"/>
    <n v="313"/>
    <x v="30"/>
    <x v="349"/>
    <n v="1499"/>
    <s v="Netbanking"/>
    <x v="0"/>
    <n v="16"/>
    <d v="2025-05-08T00:00:00"/>
    <x v="6"/>
    <s v="North"/>
    <n v="1.4999999999999999E-2"/>
    <s v="Normal Day"/>
  </r>
  <r>
    <x v="354"/>
    <n v="174"/>
    <x v="25"/>
    <x v="350"/>
    <n v="149"/>
    <s v="UPI"/>
    <x v="0"/>
    <n v="46"/>
    <d v="2024-02-10T00:00:00"/>
    <x v="5"/>
    <s v="East"/>
    <n v="0"/>
    <s v="Normal Day"/>
  </r>
  <r>
    <x v="355"/>
    <n v="309"/>
    <x v="11"/>
    <x v="351"/>
    <n v="99"/>
    <s v="UPI"/>
    <x v="0"/>
    <n v="51"/>
    <d v="2025-02-17T00:00:00"/>
    <x v="0"/>
    <s v="East"/>
    <n v="0"/>
    <s v="Normal Day"/>
  </r>
  <r>
    <x v="356"/>
    <n v="20"/>
    <x v="39"/>
    <x v="352"/>
    <n v="99"/>
    <s v="UPI"/>
    <x v="0"/>
    <n v="91"/>
    <d v="2025-01-14T00:00:00"/>
    <x v="1"/>
    <s v="North"/>
    <n v="0"/>
    <s v="Normal Day"/>
  </r>
  <r>
    <x v="357"/>
    <n v="234"/>
    <x v="34"/>
    <x v="353"/>
    <n v="49"/>
    <s v="UPI"/>
    <x v="0"/>
    <n v="77"/>
    <d v="2025-06-24T00:00:00"/>
    <x v="3"/>
    <s v="West"/>
    <n v="0"/>
    <s v="Normal Day"/>
  </r>
  <r>
    <x v="358"/>
    <n v="168"/>
    <x v="12"/>
    <x v="354"/>
    <n v="149"/>
    <s v="UPI"/>
    <x v="2"/>
    <n v="40"/>
    <d v="2024-09-25T00:00:00"/>
    <x v="5"/>
    <s v="South"/>
    <n v="0"/>
    <s v="Normal Day"/>
  </r>
  <r>
    <x v="359"/>
    <n v="154"/>
    <x v="35"/>
    <x v="355"/>
    <n v="99"/>
    <s v="Netbanking"/>
    <x v="0"/>
    <n v="43"/>
    <d v="2024-05-29T00:00:00"/>
    <x v="3"/>
    <s v="East"/>
    <n v="1.4999999999999999E-2"/>
    <s v="Normal Day"/>
  </r>
  <r>
    <x v="360"/>
    <n v="251"/>
    <x v="21"/>
    <x v="356"/>
    <n v="49"/>
    <s v="UPI"/>
    <x v="0"/>
    <n v="38"/>
    <d v="2024-03-08T00:00:00"/>
    <x v="5"/>
    <s v="South"/>
    <n v="0"/>
    <s v="Normal Day"/>
  </r>
  <r>
    <x v="361"/>
    <n v="170"/>
    <x v="30"/>
    <x v="357"/>
    <n v="2999"/>
    <s v="UPI"/>
    <x v="0"/>
    <n v="53"/>
    <d v="2024-08-11T00:00:00"/>
    <x v="6"/>
    <s v="North"/>
    <n v="0"/>
    <s v="Normal Day"/>
  </r>
  <r>
    <x v="362"/>
    <n v="323"/>
    <x v="27"/>
    <x v="358"/>
    <n v="49"/>
    <s v="Netbanking"/>
    <x v="0"/>
    <n v="76"/>
    <d v="2025-02-22T00:00:00"/>
    <x v="3"/>
    <s v="West"/>
    <n v="1.4999999999999999E-2"/>
    <s v="Normal Day"/>
  </r>
  <r>
    <x v="363"/>
    <n v="297"/>
    <x v="21"/>
    <x v="359"/>
    <n v="2999"/>
    <s v="Wallet"/>
    <x v="0"/>
    <n v="29"/>
    <d v="2024-01-19T00:00:00"/>
    <x v="5"/>
    <s v="South"/>
    <n v="1.2E-2"/>
    <s v="Normal Day"/>
  </r>
  <r>
    <x v="364"/>
    <n v="246"/>
    <x v="2"/>
    <x v="360"/>
    <n v="299"/>
    <s v="UPI"/>
    <x v="0"/>
    <n v="67"/>
    <d v="2024-04-28T00:00:00"/>
    <x v="1"/>
    <s v="North"/>
    <n v="0"/>
    <s v="Normal Day"/>
  </r>
  <r>
    <x v="365"/>
    <n v="195"/>
    <x v="34"/>
    <x v="361"/>
    <n v="99"/>
    <s v="UPI"/>
    <x v="0"/>
    <n v="87"/>
    <d v="2025-10-12T00:00:00"/>
    <x v="3"/>
    <s v="West"/>
    <n v="0"/>
    <s v="Normal Day"/>
  </r>
  <r>
    <x v="366"/>
    <n v="57"/>
    <x v="6"/>
    <x v="362"/>
    <n v="149"/>
    <s v="UPI"/>
    <x v="0"/>
    <n v="2"/>
    <d v="2024-06-09T00:00:00"/>
    <x v="2"/>
    <s v="East"/>
    <n v="0"/>
    <s v="Normal Day"/>
  </r>
  <r>
    <x v="367"/>
    <n v="78"/>
    <x v="1"/>
    <x v="363"/>
    <n v="1499"/>
    <s v="Netbanking"/>
    <x v="1"/>
    <n v="88"/>
    <d v="2025-08-16T00:00:00"/>
    <x v="1"/>
    <s v="North"/>
    <n v="1.4999999999999999E-2"/>
    <s v="Normal Day"/>
  </r>
  <r>
    <x v="368"/>
    <n v="314"/>
    <x v="20"/>
    <x v="364"/>
    <n v="49"/>
    <s v="UPI"/>
    <x v="2"/>
    <n v="94"/>
    <d v="2024-02-22T00:00:00"/>
    <x v="0"/>
    <s v="East"/>
    <n v="0"/>
    <s v="Normal Day"/>
  </r>
  <r>
    <x v="369"/>
    <n v="71"/>
    <x v="36"/>
    <x v="365"/>
    <n v="499"/>
    <s v="UPI"/>
    <x v="0"/>
    <n v="26"/>
    <d v="2025-06-24T00:00:00"/>
    <x v="2"/>
    <s v="South"/>
    <n v="0"/>
    <s v="Normal Day"/>
  </r>
  <r>
    <x v="370"/>
    <n v="245"/>
    <x v="36"/>
    <x v="366"/>
    <n v="99"/>
    <s v="UPI"/>
    <x v="0"/>
    <n v="48"/>
    <d v="2025-08-02T00:00:00"/>
    <x v="2"/>
    <s v="South"/>
    <n v="0"/>
    <s v="Normal Day"/>
  </r>
  <r>
    <x v="371"/>
    <n v="273"/>
    <x v="3"/>
    <x v="367"/>
    <n v="299"/>
    <s v="Wallet"/>
    <x v="0"/>
    <n v="69"/>
    <d v="2025-11-23T00:00:00"/>
    <x v="2"/>
    <s v="South"/>
    <n v="1.2E-2"/>
    <s v="Normal Day"/>
  </r>
  <r>
    <x v="372"/>
    <n v="349"/>
    <x v="28"/>
    <x v="368"/>
    <n v="1499"/>
    <s v="UPI"/>
    <x v="0"/>
    <n v="78"/>
    <d v="2024-11-24T00:00:00"/>
    <x v="3"/>
    <s v="North"/>
    <n v="0"/>
    <s v="Normal Day"/>
  </r>
  <r>
    <x v="373"/>
    <n v="143"/>
    <x v="25"/>
    <x v="369"/>
    <n v="1499"/>
    <s v="Netbanking"/>
    <x v="0"/>
    <n v="38"/>
    <d v="2025-04-12T00:00:00"/>
    <x v="5"/>
    <s v="East"/>
    <n v="1.4999999999999999E-2"/>
    <s v="Normal Day"/>
  </r>
  <r>
    <x v="374"/>
    <n v="148"/>
    <x v="16"/>
    <x v="370"/>
    <n v="799"/>
    <s v="Wallet"/>
    <x v="0"/>
    <n v="88"/>
    <d v="2024-06-24T00:00:00"/>
    <x v="3"/>
    <s v="East"/>
    <n v="1.2E-2"/>
    <s v="Normal Day"/>
  </r>
  <r>
    <x v="375"/>
    <n v="246"/>
    <x v="5"/>
    <x v="371"/>
    <n v="49"/>
    <s v="UPI"/>
    <x v="0"/>
    <n v="71"/>
    <d v="2024-04-28T00:00:00"/>
    <x v="2"/>
    <s v="North"/>
    <n v="0"/>
    <s v="Normal Day"/>
  </r>
  <r>
    <x v="376"/>
    <n v="148"/>
    <x v="30"/>
    <x v="372"/>
    <n v="99"/>
    <s v="Wallet"/>
    <x v="0"/>
    <n v="73"/>
    <d v="2024-06-24T00:00:00"/>
    <x v="6"/>
    <s v="North"/>
    <n v="1.2E-2"/>
    <s v="Normal Day"/>
  </r>
  <r>
    <x v="377"/>
    <n v="203"/>
    <x v="5"/>
    <x v="373"/>
    <n v="49"/>
    <s v="UPI"/>
    <x v="0"/>
    <n v="98"/>
    <d v="2024-07-23T00:00:00"/>
    <x v="2"/>
    <s v="North"/>
    <n v="0"/>
    <s v="Normal Day"/>
  </r>
  <r>
    <x v="378"/>
    <n v="22"/>
    <x v="13"/>
    <x v="374"/>
    <n v="49"/>
    <s v="Card"/>
    <x v="0"/>
    <n v="91"/>
    <d v="2024-01-31T00:00:00"/>
    <x v="3"/>
    <s v="North"/>
    <n v="0.02"/>
    <s v="Normal Day"/>
  </r>
  <r>
    <x v="379"/>
    <n v="227"/>
    <x v="28"/>
    <x v="375"/>
    <n v="299"/>
    <s v="Wallet"/>
    <x v="0"/>
    <n v="95"/>
    <d v="2025-01-15T00:00:00"/>
    <x v="3"/>
    <s v="North"/>
    <n v="1.2E-2"/>
    <s v="Normal Day"/>
  </r>
  <r>
    <x v="380"/>
    <n v="276"/>
    <x v="7"/>
    <x v="376"/>
    <n v="149"/>
    <s v="Wallet"/>
    <x v="0"/>
    <n v="71"/>
    <d v="2024-05-05T00:00:00"/>
    <x v="3"/>
    <s v="West"/>
    <n v="1.2E-2"/>
    <s v="Normal Day"/>
  </r>
  <r>
    <x v="381"/>
    <n v="56"/>
    <x v="12"/>
    <x v="377"/>
    <n v="99"/>
    <s v="Card"/>
    <x v="0"/>
    <n v="94"/>
    <d v="2024-08-10T00:00:00"/>
    <x v="5"/>
    <s v="South"/>
    <n v="0.02"/>
    <s v="Normal Day"/>
  </r>
  <r>
    <x v="382"/>
    <n v="26"/>
    <x v="36"/>
    <x v="378"/>
    <n v="499"/>
    <s v="Card"/>
    <x v="0"/>
    <n v="28"/>
    <d v="2024-08-20T00:00:00"/>
    <x v="2"/>
    <s v="South"/>
    <n v="0.02"/>
    <s v="Normal Day"/>
  </r>
  <r>
    <x v="383"/>
    <n v="52"/>
    <x v="1"/>
    <x v="379"/>
    <n v="499"/>
    <s v="Card"/>
    <x v="0"/>
    <n v="42"/>
    <d v="2025-09-28T00:00:00"/>
    <x v="1"/>
    <s v="North"/>
    <n v="0.02"/>
    <s v="Normal Day"/>
  </r>
  <r>
    <x v="384"/>
    <n v="349"/>
    <x v="39"/>
    <x v="380"/>
    <n v="499"/>
    <s v="Wallet"/>
    <x v="0"/>
    <n v="0"/>
    <d v="2024-11-24T00:00:00"/>
    <x v="1"/>
    <s v="North"/>
    <n v="1.2E-2"/>
    <s v="Normal Day"/>
  </r>
  <r>
    <x v="385"/>
    <n v="335"/>
    <x v="20"/>
    <x v="381"/>
    <n v="49"/>
    <s v="Card"/>
    <x v="0"/>
    <n v="61"/>
    <d v="2025-11-23T00:00:00"/>
    <x v="0"/>
    <s v="East"/>
    <n v="0.02"/>
    <s v="Normal Day"/>
  </r>
  <r>
    <x v="386"/>
    <n v="148"/>
    <x v="17"/>
    <x v="382"/>
    <n v="49"/>
    <s v="Card"/>
    <x v="0"/>
    <n v="36"/>
    <d v="2024-06-24T00:00:00"/>
    <x v="6"/>
    <s v="East"/>
    <n v="0.02"/>
    <s v="Normal Day"/>
  </r>
  <r>
    <x v="387"/>
    <n v="46"/>
    <x v="21"/>
    <x v="383"/>
    <n v="99"/>
    <s v="Wallet"/>
    <x v="0"/>
    <n v="29"/>
    <d v="2025-06-29T00:00:00"/>
    <x v="5"/>
    <s v="South"/>
    <n v="1.2E-2"/>
    <s v="Normal Day"/>
  </r>
  <r>
    <x v="388"/>
    <n v="20"/>
    <x v="9"/>
    <x v="384"/>
    <n v="799"/>
    <s v="Card"/>
    <x v="0"/>
    <n v="53"/>
    <d v="2025-01-14T00:00:00"/>
    <x v="1"/>
    <s v="East"/>
    <n v="0.02"/>
    <s v="Normal Day"/>
  </r>
  <r>
    <x v="389"/>
    <n v="19"/>
    <x v="22"/>
    <x v="385"/>
    <n v="49"/>
    <s v="UPI"/>
    <x v="0"/>
    <n v="100"/>
    <d v="2024-05-01T00:00:00"/>
    <x v="6"/>
    <s v="East"/>
    <n v="0"/>
    <s v="Normal Day"/>
  </r>
  <r>
    <x v="390"/>
    <n v="149"/>
    <x v="4"/>
    <x v="386"/>
    <n v="4999"/>
    <s v="Wallet"/>
    <x v="0"/>
    <n v="1"/>
    <d v="2025-04-03T00:00:00"/>
    <x v="3"/>
    <s v="East"/>
    <n v="1.2E-2"/>
    <s v="Normal Day"/>
  </r>
  <r>
    <x v="391"/>
    <n v="55"/>
    <x v="3"/>
    <x v="387"/>
    <n v="499"/>
    <s v="UPI"/>
    <x v="0"/>
    <n v="36"/>
    <d v="2024-04-01T00:00:00"/>
    <x v="2"/>
    <s v="South"/>
    <n v="0"/>
    <s v="Normal Day"/>
  </r>
  <r>
    <x v="392"/>
    <n v="269"/>
    <x v="33"/>
    <x v="388"/>
    <n v="49"/>
    <s v="Card"/>
    <x v="0"/>
    <n v="17"/>
    <d v="2025-01-29T00:00:00"/>
    <x v="6"/>
    <s v="West"/>
    <n v="0.02"/>
    <s v="Normal Day"/>
  </r>
  <r>
    <x v="393"/>
    <n v="140"/>
    <x v="6"/>
    <x v="389"/>
    <n v="2999"/>
    <s v="UPI"/>
    <x v="0"/>
    <n v="14"/>
    <d v="2025-09-21T00:00:00"/>
    <x v="2"/>
    <s v="East"/>
    <n v="0"/>
    <s v="Normal Day"/>
  </r>
  <r>
    <x v="394"/>
    <n v="235"/>
    <x v="28"/>
    <x v="390"/>
    <n v="2999"/>
    <s v="UPI"/>
    <x v="0"/>
    <n v="91"/>
    <d v="2025-10-05T00:00:00"/>
    <x v="3"/>
    <s v="North"/>
    <n v="0"/>
    <s v="Normal Day"/>
  </r>
  <r>
    <x v="395"/>
    <n v="173"/>
    <x v="13"/>
    <x v="391"/>
    <n v="499"/>
    <s v="UPI"/>
    <x v="1"/>
    <n v="72"/>
    <d v="2024-02-02T00:00:00"/>
    <x v="3"/>
    <s v="North"/>
    <n v="0"/>
    <s v="Normal Day"/>
  </r>
  <r>
    <x v="396"/>
    <n v="313"/>
    <x v="22"/>
    <x v="392"/>
    <n v="499"/>
    <s v="UPI"/>
    <x v="0"/>
    <n v="54"/>
    <d v="2025-05-08T00:00:00"/>
    <x v="6"/>
    <s v="East"/>
    <n v="0"/>
    <s v="Normal Day"/>
  </r>
  <r>
    <x v="397"/>
    <n v="206"/>
    <x v="23"/>
    <x v="393"/>
    <n v="149"/>
    <s v="Wallet"/>
    <x v="0"/>
    <n v="23"/>
    <d v="2024-10-18T00:00:00"/>
    <x v="6"/>
    <s v="East"/>
    <n v="1.2E-2"/>
    <s v="Normal Day"/>
  </r>
  <r>
    <x v="398"/>
    <n v="128"/>
    <x v="37"/>
    <x v="394"/>
    <n v="1499"/>
    <s v="Netbanking"/>
    <x v="0"/>
    <n v="33"/>
    <d v="2025-08-01T00:00:00"/>
    <x v="1"/>
    <s v="South"/>
    <n v="1.4999999999999999E-2"/>
    <s v="Normal Day"/>
  </r>
  <r>
    <x v="399"/>
    <n v="137"/>
    <x v="3"/>
    <x v="395"/>
    <n v="799"/>
    <s v="UPI"/>
    <x v="1"/>
    <n v="38"/>
    <d v="2024-04-09T00:00:00"/>
    <x v="2"/>
    <s v="South"/>
    <n v="0"/>
    <s v="Normal Day"/>
  </r>
  <r>
    <x v="400"/>
    <n v="6"/>
    <x v="28"/>
    <x v="396"/>
    <n v="49"/>
    <s v="UPI"/>
    <x v="0"/>
    <n v="83"/>
    <d v="2025-03-01T00:00:00"/>
    <x v="3"/>
    <s v="North"/>
    <n v="0"/>
    <s v="Normal Day"/>
  </r>
  <r>
    <x v="401"/>
    <n v="32"/>
    <x v="30"/>
    <x v="397"/>
    <n v="299"/>
    <s v="Card"/>
    <x v="0"/>
    <n v="59"/>
    <d v="2024-05-30T00:00:00"/>
    <x v="6"/>
    <s v="North"/>
    <n v="0.02"/>
    <s v="Normal Day"/>
  </r>
  <r>
    <x v="402"/>
    <n v="258"/>
    <x v="15"/>
    <x v="398"/>
    <n v="149"/>
    <s v="UPI"/>
    <x v="0"/>
    <n v="88"/>
    <d v="2025-01-13T00:00:00"/>
    <x v="6"/>
    <s v="East"/>
    <n v="0"/>
    <s v="Normal Day"/>
  </r>
  <r>
    <x v="403"/>
    <n v="152"/>
    <x v="31"/>
    <x v="399"/>
    <n v="149"/>
    <s v="UPI"/>
    <x v="2"/>
    <n v="78"/>
    <d v="2024-07-23T00:00:00"/>
    <x v="3"/>
    <s v="North"/>
    <n v="0"/>
    <s v="Normal Day"/>
  </r>
  <r>
    <x v="404"/>
    <n v="245"/>
    <x v="34"/>
    <x v="400"/>
    <n v="799"/>
    <s v="Wallet"/>
    <x v="0"/>
    <n v="58"/>
    <d v="2025-08-02T00:00:00"/>
    <x v="3"/>
    <s v="West"/>
    <n v="1.2E-2"/>
    <s v="Normal Day"/>
  </r>
  <r>
    <x v="405"/>
    <n v="213"/>
    <x v="25"/>
    <x v="401"/>
    <n v="49"/>
    <s v="Wallet"/>
    <x v="0"/>
    <n v="60"/>
    <d v="2024-08-24T00:00:00"/>
    <x v="5"/>
    <s v="East"/>
    <n v="1.2E-2"/>
    <s v="Normal Day"/>
  </r>
  <r>
    <x v="406"/>
    <n v="341"/>
    <x v="16"/>
    <x v="402"/>
    <n v="99"/>
    <s v="Netbanking"/>
    <x v="0"/>
    <n v="97"/>
    <d v="2024-11-19T00:00:00"/>
    <x v="3"/>
    <s v="East"/>
    <n v="1.4999999999999999E-2"/>
    <s v="Normal Day"/>
  </r>
  <r>
    <x v="407"/>
    <n v="306"/>
    <x v="18"/>
    <x v="403"/>
    <n v="149"/>
    <s v="Netbanking"/>
    <x v="0"/>
    <n v="67"/>
    <d v="2024-05-15T00:00:00"/>
    <x v="6"/>
    <s v="South"/>
    <n v="1.4999999999999999E-2"/>
    <s v="Normal Day"/>
  </r>
  <r>
    <x v="408"/>
    <n v="186"/>
    <x v="32"/>
    <x v="404"/>
    <n v="499"/>
    <s v="UPI"/>
    <x v="0"/>
    <n v="72"/>
    <d v="2024-09-26T00:00:00"/>
    <x v="4"/>
    <s v="South"/>
    <n v="0"/>
    <s v="Normal Day"/>
  </r>
  <r>
    <x v="409"/>
    <n v="281"/>
    <x v="11"/>
    <x v="405"/>
    <n v="4999"/>
    <s v="UPI"/>
    <x v="0"/>
    <n v="25"/>
    <d v="2024-07-02T00:00:00"/>
    <x v="0"/>
    <s v="East"/>
    <n v="0"/>
    <s v="Normal Day"/>
  </r>
  <r>
    <x v="410"/>
    <n v="85"/>
    <x v="17"/>
    <x v="406"/>
    <n v="99"/>
    <s v="UPI"/>
    <x v="0"/>
    <n v="66"/>
    <d v="2025-06-29T00:00:00"/>
    <x v="6"/>
    <s v="East"/>
    <n v="0"/>
    <s v="Normal Day"/>
  </r>
  <r>
    <x v="411"/>
    <n v="106"/>
    <x v="35"/>
    <x v="407"/>
    <n v="499"/>
    <s v="UPI"/>
    <x v="0"/>
    <n v="62"/>
    <d v="2024-06-05T00:00:00"/>
    <x v="3"/>
    <s v="East"/>
    <n v="0"/>
    <s v="Normal Day"/>
  </r>
  <r>
    <x v="412"/>
    <n v="29"/>
    <x v="24"/>
    <x v="408"/>
    <n v="149"/>
    <s v="Netbanking"/>
    <x v="0"/>
    <n v="16"/>
    <d v="2025-07-13T00:00:00"/>
    <x v="2"/>
    <s v="West"/>
    <n v="1.4999999999999999E-2"/>
    <s v="Normal Day"/>
  </r>
  <r>
    <x v="413"/>
    <n v="289"/>
    <x v="29"/>
    <x v="409"/>
    <n v="1499"/>
    <s v="Card"/>
    <x v="0"/>
    <n v="71"/>
    <d v="2025-06-24T00:00:00"/>
    <x v="1"/>
    <s v="East"/>
    <n v="0.02"/>
    <s v="Normal Day"/>
  </r>
  <r>
    <x v="414"/>
    <n v="158"/>
    <x v="27"/>
    <x v="410"/>
    <n v="1499"/>
    <s v="Card"/>
    <x v="0"/>
    <n v="50"/>
    <d v="2024-08-05T00:00:00"/>
    <x v="3"/>
    <s v="West"/>
    <n v="0.02"/>
    <s v="Normal Day"/>
  </r>
  <r>
    <x v="415"/>
    <n v="112"/>
    <x v="35"/>
    <x v="411"/>
    <n v="49"/>
    <s v="UPI"/>
    <x v="0"/>
    <n v="9"/>
    <d v="2025-06-16T00:00:00"/>
    <x v="3"/>
    <s v="East"/>
    <n v="0"/>
    <s v="Normal Day"/>
  </r>
  <r>
    <x v="416"/>
    <n v="33"/>
    <x v="8"/>
    <x v="412"/>
    <n v="299"/>
    <s v="Card"/>
    <x v="1"/>
    <n v="7"/>
    <d v="2025-03-08T00:00:00"/>
    <x v="4"/>
    <s v="East"/>
    <n v="0.02"/>
    <s v="Normal Day"/>
  </r>
  <r>
    <x v="417"/>
    <n v="242"/>
    <x v="4"/>
    <x v="413"/>
    <n v="49"/>
    <s v="UPI"/>
    <x v="0"/>
    <n v="36"/>
    <d v="2024-01-11T00:00:00"/>
    <x v="3"/>
    <s v="East"/>
    <n v="0"/>
    <s v="Normal Day"/>
  </r>
  <r>
    <x v="418"/>
    <n v="70"/>
    <x v="1"/>
    <x v="414"/>
    <n v="149"/>
    <s v="UPI"/>
    <x v="0"/>
    <n v="47"/>
    <d v="2024-09-13T00:00:00"/>
    <x v="1"/>
    <s v="North"/>
    <n v="0"/>
    <s v="Normal Day"/>
  </r>
  <r>
    <x v="419"/>
    <n v="194"/>
    <x v="14"/>
    <x v="415"/>
    <n v="49"/>
    <s v="Wallet"/>
    <x v="0"/>
    <n v="10"/>
    <d v="2025-08-24T00:00:00"/>
    <x v="2"/>
    <s v="South"/>
    <n v="1.2E-2"/>
    <s v="Normal Day"/>
  </r>
  <r>
    <x v="420"/>
    <n v="277"/>
    <x v="39"/>
    <x v="416"/>
    <n v="799"/>
    <s v="UPI"/>
    <x v="0"/>
    <n v="83"/>
    <d v="2025-08-22T00:00:00"/>
    <x v="1"/>
    <s v="North"/>
    <n v="0"/>
    <s v="Normal Day"/>
  </r>
  <r>
    <x v="421"/>
    <n v="92"/>
    <x v="8"/>
    <x v="417"/>
    <n v="49"/>
    <s v="UPI"/>
    <x v="0"/>
    <n v="50"/>
    <d v="2025-01-05T00:00:00"/>
    <x v="4"/>
    <s v="East"/>
    <n v="0"/>
    <s v="Normal Day"/>
  </r>
  <r>
    <x v="422"/>
    <n v="115"/>
    <x v="37"/>
    <x v="418"/>
    <n v="149"/>
    <s v="Wallet"/>
    <x v="0"/>
    <n v="96"/>
    <d v="2024-03-21T00:00:00"/>
    <x v="1"/>
    <s v="South"/>
    <n v="1.2E-2"/>
    <s v="Normal Day"/>
  </r>
  <r>
    <x v="423"/>
    <n v="345"/>
    <x v="8"/>
    <x v="419"/>
    <n v="499"/>
    <s v="Card"/>
    <x v="0"/>
    <n v="54"/>
    <d v="2024-09-18T00:00:00"/>
    <x v="4"/>
    <s v="East"/>
    <n v="0.02"/>
    <s v="Normal Day"/>
  </r>
  <r>
    <x v="424"/>
    <n v="118"/>
    <x v="0"/>
    <x v="420"/>
    <n v="49"/>
    <s v="UPI"/>
    <x v="0"/>
    <n v="58"/>
    <d v="2024-05-29T00:00:00"/>
    <x v="0"/>
    <s v="West"/>
    <n v="0"/>
    <s v="Normal Day"/>
  </r>
  <r>
    <x v="425"/>
    <n v="97"/>
    <x v="30"/>
    <x v="421"/>
    <n v="99"/>
    <s v="Netbanking"/>
    <x v="0"/>
    <n v="4"/>
    <d v="2025-01-22T00:00:00"/>
    <x v="6"/>
    <s v="North"/>
    <n v="1.4999999999999999E-2"/>
    <s v="Normal Day"/>
  </r>
  <r>
    <x v="426"/>
    <n v="315"/>
    <x v="27"/>
    <x v="422"/>
    <n v="299"/>
    <s v="Wallet"/>
    <x v="0"/>
    <n v="30"/>
    <d v="2025-03-07T00:00:00"/>
    <x v="3"/>
    <s v="West"/>
    <n v="1.2E-2"/>
    <s v="Normal Day"/>
  </r>
  <r>
    <x v="427"/>
    <n v="305"/>
    <x v="4"/>
    <x v="423"/>
    <n v="299"/>
    <s v="UPI"/>
    <x v="0"/>
    <n v="57"/>
    <d v="2025-08-15T00:00:00"/>
    <x v="3"/>
    <s v="East"/>
    <n v="0"/>
    <s v="Normal Day"/>
  </r>
  <r>
    <x v="428"/>
    <n v="25"/>
    <x v="0"/>
    <x v="424"/>
    <n v="299"/>
    <s v="UPI"/>
    <x v="0"/>
    <n v="94"/>
    <d v="2024-02-13T00:00:00"/>
    <x v="0"/>
    <s v="West"/>
    <n v="0"/>
    <s v="Normal Day"/>
  </r>
  <r>
    <x v="429"/>
    <n v="120"/>
    <x v="8"/>
    <x v="425"/>
    <n v="49"/>
    <s v="UPI"/>
    <x v="0"/>
    <n v="27"/>
    <d v="2025-01-17T00:00:00"/>
    <x v="4"/>
    <s v="East"/>
    <n v="0"/>
    <s v="Normal Day"/>
  </r>
  <r>
    <x v="430"/>
    <n v="258"/>
    <x v="13"/>
    <x v="426"/>
    <n v="49"/>
    <s v="Wallet"/>
    <x v="0"/>
    <n v="29"/>
    <d v="2025-01-13T00:00:00"/>
    <x v="3"/>
    <s v="North"/>
    <n v="1.2E-2"/>
    <s v="Normal Day"/>
  </r>
  <r>
    <x v="431"/>
    <n v="164"/>
    <x v="21"/>
    <x v="427"/>
    <n v="799"/>
    <s v="UPI"/>
    <x v="0"/>
    <n v="76"/>
    <d v="2025-08-25T00:00:00"/>
    <x v="5"/>
    <s v="South"/>
    <n v="0"/>
    <s v="Normal Day"/>
  </r>
  <r>
    <x v="432"/>
    <n v="165"/>
    <x v="0"/>
    <x v="428"/>
    <n v="49"/>
    <s v="Wallet"/>
    <x v="0"/>
    <n v="38"/>
    <d v="2024-01-28T00:00:00"/>
    <x v="0"/>
    <s v="West"/>
    <n v="1.2E-2"/>
    <s v="Normal Day"/>
  </r>
  <r>
    <x v="433"/>
    <n v="267"/>
    <x v="19"/>
    <x v="429"/>
    <n v="49"/>
    <s v="Netbanking"/>
    <x v="0"/>
    <n v="52"/>
    <d v="2024-01-15T00:00:00"/>
    <x v="2"/>
    <s v="North"/>
    <n v="1.4999999999999999E-2"/>
    <s v="Normal Day"/>
  </r>
  <r>
    <x v="434"/>
    <n v="286"/>
    <x v="35"/>
    <x v="430"/>
    <n v="299"/>
    <s v="Wallet"/>
    <x v="0"/>
    <n v="94"/>
    <d v="2025-03-27T00:00:00"/>
    <x v="3"/>
    <s v="East"/>
    <n v="1.2E-2"/>
    <s v="Normal Day"/>
  </r>
  <r>
    <x v="435"/>
    <n v="348"/>
    <x v="10"/>
    <x v="431"/>
    <n v="499"/>
    <s v="Card"/>
    <x v="0"/>
    <n v="71"/>
    <d v="2025-01-21T00:00:00"/>
    <x v="1"/>
    <s v="South"/>
    <n v="0.02"/>
    <s v="Normal Day"/>
  </r>
  <r>
    <x v="436"/>
    <n v="330"/>
    <x v="14"/>
    <x v="432"/>
    <n v="799"/>
    <s v="UPI"/>
    <x v="0"/>
    <n v="100"/>
    <d v="2025-06-20T00:00:00"/>
    <x v="2"/>
    <s v="South"/>
    <n v="0"/>
    <s v="Normal Day"/>
  </r>
  <r>
    <x v="437"/>
    <n v="214"/>
    <x v="1"/>
    <x v="433"/>
    <n v="299"/>
    <s v="Card"/>
    <x v="0"/>
    <n v="19"/>
    <d v="2025-02-13T00:00:00"/>
    <x v="1"/>
    <s v="North"/>
    <n v="0.02"/>
    <s v="Normal Day"/>
  </r>
  <r>
    <x v="438"/>
    <n v="276"/>
    <x v="20"/>
    <x v="434"/>
    <n v="499"/>
    <s v="UPI"/>
    <x v="0"/>
    <n v="30"/>
    <d v="2024-05-05T00:00:00"/>
    <x v="0"/>
    <s v="East"/>
    <n v="0"/>
    <s v="Normal Day"/>
  </r>
  <r>
    <x v="439"/>
    <n v="74"/>
    <x v="24"/>
    <x v="435"/>
    <n v="49"/>
    <s v="UPI"/>
    <x v="0"/>
    <n v="7"/>
    <d v="2025-03-08T00:00:00"/>
    <x v="2"/>
    <s v="West"/>
    <n v="0"/>
    <s v="Normal Day"/>
  </r>
  <r>
    <x v="440"/>
    <n v="286"/>
    <x v="36"/>
    <x v="436"/>
    <n v="49"/>
    <s v="Card"/>
    <x v="0"/>
    <n v="17"/>
    <d v="2025-03-27T00:00:00"/>
    <x v="2"/>
    <s v="South"/>
    <n v="0.02"/>
    <s v="Normal Day"/>
  </r>
  <r>
    <x v="441"/>
    <n v="105"/>
    <x v="3"/>
    <x v="437"/>
    <n v="4999"/>
    <s v="UPI"/>
    <x v="0"/>
    <n v="82"/>
    <d v="2025-09-23T00:00:00"/>
    <x v="2"/>
    <s v="South"/>
    <n v="0"/>
    <s v="Normal Day"/>
  </r>
  <r>
    <x v="442"/>
    <n v="190"/>
    <x v="18"/>
    <x v="438"/>
    <n v="799"/>
    <s v="Wallet"/>
    <x v="0"/>
    <n v="68"/>
    <d v="2025-03-22T00:00:00"/>
    <x v="6"/>
    <s v="South"/>
    <n v="1.2E-2"/>
    <s v="Normal Day"/>
  </r>
  <r>
    <x v="443"/>
    <n v="138"/>
    <x v="14"/>
    <x v="439"/>
    <n v="299"/>
    <s v="Wallet"/>
    <x v="0"/>
    <n v="86"/>
    <d v="2025-04-21T00:00:00"/>
    <x v="2"/>
    <s v="South"/>
    <n v="1.2E-2"/>
    <s v="Normal Day"/>
  </r>
  <r>
    <x v="444"/>
    <n v="38"/>
    <x v="6"/>
    <x v="440"/>
    <n v="4999"/>
    <s v="Netbanking"/>
    <x v="0"/>
    <n v="97"/>
    <d v="2024-11-27T00:00:00"/>
    <x v="2"/>
    <s v="East"/>
    <n v="1.4999999999999999E-2"/>
    <s v="Normal Day"/>
  </r>
  <r>
    <x v="445"/>
    <n v="287"/>
    <x v="16"/>
    <x v="441"/>
    <n v="99"/>
    <s v="Wallet"/>
    <x v="0"/>
    <n v="61"/>
    <d v="2024-11-19T00:00:00"/>
    <x v="3"/>
    <s v="East"/>
    <n v="1.2E-2"/>
    <s v="Normal Day"/>
  </r>
  <r>
    <x v="446"/>
    <n v="8"/>
    <x v="16"/>
    <x v="442"/>
    <n v="49"/>
    <s v="UPI"/>
    <x v="0"/>
    <n v="24"/>
    <d v="2024-05-11T00:00:00"/>
    <x v="3"/>
    <s v="East"/>
    <n v="0"/>
    <s v="Normal Day"/>
  </r>
  <r>
    <x v="447"/>
    <n v="246"/>
    <x v="0"/>
    <x v="443"/>
    <n v="1499"/>
    <s v="Wallet"/>
    <x v="0"/>
    <n v="89"/>
    <d v="2024-04-28T00:00:00"/>
    <x v="0"/>
    <s v="West"/>
    <n v="1.2E-2"/>
    <s v="Normal Day"/>
  </r>
  <r>
    <x v="448"/>
    <n v="204"/>
    <x v="0"/>
    <x v="444"/>
    <n v="149"/>
    <s v="UPI"/>
    <x v="0"/>
    <n v="70"/>
    <d v="2024-07-28T00:00:00"/>
    <x v="0"/>
    <s v="West"/>
    <n v="0"/>
    <s v="Normal Day"/>
  </r>
  <r>
    <x v="449"/>
    <n v="239"/>
    <x v="8"/>
    <x v="445"/>
    <n v="4999"/>
    <s v="UPI"/>
    <x v="0"/>
    <n v="83"/>
    <d v="2025-09-23T00:00:00"/>
    <x v="4"/>
    <s v="East"/>
    <n v="0"/>
    <s v="Normal Day"/>
  </r>
  <r>
    <x v="450"/>
    <n v="185"/>
    <x v="11"/>
    <x v="446"/>
    <n v="299"/>
    <s v="UPI"/>
    <x v="0"/>
    <n v="63"/>
    <d v="2025-07-12T00:00:00"/>
    <x v="0"/>
    <s v="East"/>
    <n v="0"/>
    <s v="Normal Day"/>
  </r>
  <r>
    <x v="451"/>
    <n v="241"/>
    <x v="17"/>
    <x v="447"/>
    <n v="299"/>
    <s v="Card"/>
    <x v="0"/>
    <n v="26"/>
    <d v="2025-09-24T00:00:00"/>
    <x v="6"/>
    <s v="East"/>
    <n v="0.02"/>
    <s v="Normal Day"/>
  </r>
  <r>
    <x v="452"/>
    <n v="24"/>
    <x v="21"/>
    <x v="448"/>
    <n v="149"/>
    <s v="UPI"/>
    <x v="0"/>
    <n v="28"/>
    <d v="2024-10-23T00:00:00"/>
    <x v="5"/>
    <s v="South"/>
    <n v="0"/>
    <s v="Normal Day"/>
  </r>
  <r>
    <x v="453"/>
    <n v="134"/>
    <x v="25"/>
    <x v="449"/>
    <n v="1499"/>
    <s v="UPI"/>
    <x v="0"/>
    <n v="74"/>
    <d v="2024-04-09T00:00:00"/>
    <x v="5"/>
    <s v="East"/>
    <n v="0"/>
    <s v="Normal Day"/>
  </r>
  <r>
    <x v="454"/>
    <n v="152"/>
    <x v="34"/>
    <x v="450"/>
    <n v="499"/>
    <s v="Wallet"/>
    <x v="0"/>
    <n v="25"/>
    <d v="2024-07-23T00:00:00"/>
    <x v="3"/>
    <s v="West"/>
    <n v="1.2E-2"/>
    <s v="Normal Day"/>
  </r>
  <r>
    <x v="455"/>
    <n v="292"/>
    <x v="0"/>
    <x v="451"/>
    <n v="499"/>
    <s v="Netbanking"/>
    <x v="0"/>
    <n v="63"/>
    <d v="2025-01-27T00:00:00"/>
    <x v="0"/>
    <s v="West"/>
    <n v="1.4999999999999999E-2"/>
    <s v="Normal Day"/>
  </r>
  <r>
    <x v="456"/>
    <n v="173"/>
    <x v="28"/>
    <x v="452"/>
    <n v="99"/>
    <s v="Netbanking"/>
    <x v="0"/>
    <n v="97"/>
    <d v="2024-02-02T00:00:00"/>
    <x v="3"/>
    <s v="North"/>
    <n v="1.4999999999999999E-2"/>
    <s v="Normal Day"/>
  </r>
  <r>
    <x v="457"/>
    <n v="329"/>
    <x v="33"/>
    <x v="453"/>
    <n v="1499"/>
    <s v="UPI"/>
    <x v="0"/>
    <n v="58"/>
    <d v="2025-03-09T00:00:00"/>
    <x v="6"/>
    <s v="West"/>
    <n v="0"/>
    <s v="Normal Day"/>
  </r>
  <r>
    <x v="458"/>
    <n v="181"/>
    <x v="2"/>
    <x v="454"/>
    <n v="1499"/>
    <s v="UPI"/>
    <x v="0"/>
    <n v="17"/>
    <d v="2025-05-20T00:00:00"/>
    <x v="1"/>
    <s v="North"/>
    <n v="0"/>
    <s v="Normal Day"/>
  </r>
  <r>
    <x v="459"/>
    <n v="95"/>
    <x v="8"/>
    <x v="455"/>
    <n v="149"/>
    <s v="Wallet"/>
    <x v="0"/>
    <n v="82"/>
    <d v="2025-08-10T00:00:00"/>
    <x v="4"/>
    <s v="East"/>
    <n v="1.2E-2"/>
    <s v="Normal Day"/>
  </r>
  <r>
    <x v="460"/>
    <n v="39"/>
    <x v="29"/>
    <x v="456"/>
    <n v="149"/>
    <s v="Netbanking"/>
    <x v="0"/>
    <n v="97"/>
    <d v="2025-04-22T00:00:00"/>
    <x v="1"/>
    <s v="East"/>
    <n v="1.4999999999999999E-2"/>
    <s v="Normal Day"/>
  </r>
  <r>
    <x v="461"/>
    <n v="323"/>
    <x v="19"/>
    <x v="457"/>
    <n v="499"/>
    <s v="UPI"/>
    <x v="0"/>
    <n v="8"/>
    <d v="2025-02-22T00:00:00"/>
    <x v="2"/>
    <s v="North"/>
    <n v="0"/>
    <s v="Normal Day"/>
  </r>
  <r>
    <x v="462"/>
    <n v="112"/>
    <x v="11"/>
    <x v="458"/>
    <n v="49"/>
    <s v="Netbanking"/>
    <x v="0"/>
    <n v="58"/>
    <d v="2025-06-16T00:00:00"/>
    <x v="0"/>
    <s v="East"/>
    <n v="1.4999999999999999E-2"/>
    <s v="Normal Day"/>
  </r>
  <r>
    <x v="463"/>
    <n v="327"/>
    <x v="12"/>
    <x v="459"/>
    <n v="99"/>
    <s v="UPI"/>
    <x v="0"/>
    <n v="61"/>
    <d v="2025-07-22T00:00:00"/>
    <x v="5"/>
    <s v="South"/>
    <n v="0"/>
    <s v="Normal Day"/>
  </r>
  <r>
    <x v="464"/>
    <n v="4"/>
    <x v="8"/>
    <x v="460"/>
    <n v="299"/>
    <s v="UPI"/>
    <x v="0"/>
    <n v="70"/>
    <d v="2024-08-16T00:00:00"/>
    <x v="4"/>
    <s v="East"/>
    <n v="0"/>
    <s v="Normal Day"/>
  </r>
  <r>
    <x v="465"/>
    <n v="272"/>
    <x v="7"/>
    <x v="461"/>
    <n v="149"/>
    <s v="UPI"/>
    <x v="0"/>
    <n v="68"/>
    <d v="2025-09-19T00:00:00"/>
    <x v="3"/>
    <s v="West"/>
    <n v="0"/>
    <s v="Normal Day"/>
  </r>
  <r>
    <x v="466"/>
    <n v="346"/>
    <x v="10"/>
    <x v="462"/>
    <n v="499"/>
    <s v="UPI"/>
    <x v="0"/>
    <n v="22"/>
    <d v="2025-07-25T00:00:00"/>
    <x v="1"/>
    <s v="South"/>
    <n v="0"/>
    <s v="Normal Day"/>
  </r>
  <r>
    <x v="467"/>
    <n v="77"/>
    <x v="0"/>
    <x v="463"/>
    <n v="49"/>
    <s v="Wallet"/>
    <x v="0"/>
    <n v="24"/>
    <d v="2024-07-01T00:00:00"/>
    <x v="0"/>
    <s v="West"/>
    <n v="1.2E-2"/>
    <s v="Normal Day"/>
  </r>
  <r>
    <x v="468"/>
    <n v="182"/>
    <x v="7"/>
    <x v="464"/>
    <n v="149"/>
    <s v="Card"/>
    <x v="0"/>
    <n v="50"/>
    <d v="2025-05-22T00:00:00"/>
    <x v="3"/>
    <s v="West"/>
    <n v="0.02"/>
    <s v="Normal Day"/>
  </r>
  <r>
    <x v="469"/>
    <n v="236"/>
    <x v="21"/>
    <x v="465"/>
    <n v="299"/>
    <s v="Card"/>
    <x v="0"/>
    <n v="31"/>
    <d v="2024-06-30T00:00:00"/>
    <x v="5"/>
    <s v="South"/>
    <n v="0.02"/>
    <s v="Normal Day"/>
  </r>
  <r>
    <x v="470"/>
    <n v="42"/>
    <x v="4"/>
    <x v="76"/>
    <n v="49"/>
    <s v="UPI"/>
    <x v="0"/>
    <n v="11"/>
    <d v="2024-07-15T00:00:00"/>
    <x v="3"/>
    <s v="East"/>
    <n v="0"/>
    <s v="Normal Day"/>
  </r>
  <r>
    <x v="471"/>
    <n v="283"/>
    <x v="20"/>
    <x v="466"/>
    <n v="299"/>
    <s v="Netbanking"/>
    <x v="0"/>
    <n v="7"/>
    <d v="2025-07-20T00:00:00"/>
    <x v="0"/>
    <s v="East"/>
    <n v="1.4999999999999999E-2"/>
    <s v="Normal Day"/>
  </r>
  <r>
    <x v="472"/>
    <n v="88"/>
    <x v="18"/>
    <x v="467"/>
    <n v="49"/>
    <s v="UPI"/>
    <x v="0"/>
    <n v="63"/>
    <d v="2024-05-29T00:00:00"/>
    <x v="6"/>
    <s v="South"/>
    <n v="0"/>
    <s v="Normal Day"/>
  </r>
  <r>
    <x v="473"/>
    <n v="170"/>
    <x v="21"/>
    <x v="468"/>
    <n v="99"/>
    <s v="UPI"/>
    <x v="1"/>
    <n v="12"/>
    <d v="2024-08-11T00:00:00"/>
    <x v="5"/>
    <s v="South"/>
    <n v="0"/>
    <s v="Normal Day"/>
  </r>
  <r>
    <x v="474"/>
    <n v="22"/>
    <x v="19"/>
    <x v="469"/>
    <n v="49"/>
    <s v="Netbanking"/>
    <x v="0"/>
    <n v="27"/>
    <d v="2024-01-31T00:00:00"/>
    <x v="2"/>
    <s v="North"/>
    <n v="1.4999999999999999E-2"/>
    <s v="Normal Day"/>
  </r>
  <r>
    <x v="475"/>
    <n v="291"/>
    <x v="20"/>
    <x v="470"/>
    <n v="49"/>
    <s v="Netbanking"/>
    <x v="1"/>
    <n v="34"/>
    <d v="2024-05-25T00:00:00"/>
    <x v="0"/>
    <s v="East"/>
    <n v="1.4999999999999999E-2"/>
    <s v="Normal Day"/>
  </r>
  <r>
    <x v="476"/>
    <n v="144"/>
    <x v="8"/>
    <x v="471"/>
    <n v="1499"/>
    <s v="UPI"/>
    <x v="0"/>
    <n v="72"/>
    <d v="2025-09-24T00:00:00"/>
    <x v="4"/>
    <s v="East"/>
    <n v="0"/>
    <s v="Normal Day"/>
  </r>
  <r>
    <x v="477"/>
    <n v="162"/>
    <x v="27"/>
    <x v="472"/>
    <n v="299"/>
    <s v="Wallet"/>
    <x v="0"/>
    <n v="26"/>
    <d v="2025-05-22T00:00:00"/>
    <x v="3"/>
    <s v="West"/>
    <n v="1.2E-2"/>
    <s v="Normal Day"/>
  </r>
  <r>
    <x v="478"/>
    <n v="204"/>
    <x v="32"/>
    <x v="473"/>
    <n v="49"/>
    <s v="UPI"/>
    <x v="0"/>
    <n v="38"/>
    <d v="2024-07-28T00:00:00"/>
    <x v="4"/>
    <s v="South"/>
    <n v="0"/>
    <s v="Normal Day"/>
  </r>
  <r>
    <x v="479"/>
    <n v="291"/>
    <x v="14"/>
    <x v="474"/>
    <n v="99"/>
    <s v="Wallet"/>
    <x v="0"/>
    <n v="86"/>
    <d v="2024-05-25T00:00:00"/>
    <x v="2"/>
    <s v="South"/>
    <n v="1.2E-2"/>
    <s v="Normal Day"/>
  </r>
  <r>
    <x v="480"/>
    <n v="197"/>
    <x v="39"/>
    <x v="475"/>
    <n v="49"/>
    <s v="Wallet"/>
    <x v="1"/>
    <n v="88"/>
    <d v="2024-05-28T00:00:00"/>
    <x v="1"/>
    <s v="North"/>
    <n v="1.2E-2"/>
    <s v="Normal Day"/>
  </r>
  <r>
    <x v="481"/>
    <n v="178"/>
    <x v="29"/>
    <x v="476"/>
    <n v="1499"/>
    <s v="UPI"/>
    <x v="0"/>
    <n v="12"/>
    <d v="2024-12-20T00:00:00"/>
    <x v="1"/>
    <s v="East"/>
    <n v="0"/>
    <s v="Normal Day"/>
  </r>
  <r>
    <x v="482"/>
    <n v="39"/>
    <x v="3"/>
    <x v="477"/>
    <n v="799"/>
    <s v="Netbanking"/>
    <x v="0"/>
    <n v="77"/>
    <d v="2025-04-22T00:00:00"/>
    <x v="2"/>
    <s v="South"/>
    <n v="1.4999999999999999E-2"/>
    <s v="Normal Day"/>
  </r>
  <r>
    <x v="483"/>
    <n v="204"/>
    <x v="17"/>
    <x v="478"/>
    <n v="299"/>
    <s v="Wallet"/>
    <x v="0"/>
    <n v="3"/>
    <d v="2024-07-28T00:00:00"/>
    <x v="6"/>
    <s v="East"/>
    <n v="1.2E-2"/>
    <s v="Normal Day"/>
  </r>
  <r>
    <x v="484"/>
    <n v="231"/>
    <x v="33"/>
    <x v="479"/>
    <n v="299"/>
    <s v="UPI"/>
    <x v="0"/>
    <n v="29"/>
    <d v="2024-08-01T00:00:00"/>
    <x v="6"/>
    <s v="West"/>
    <n v="0"/>
    <s v="Normal Day"/>
  </r>
  <r>
    <x v="485"/>
    <n v="222"/>
    <x v="9"/>
    <x v="480"/>
    <n v="499"/>
    <s v="Wallet"/>
    <x v="1"/>
    <n v="87"/>
    <d v="2025-04-24T00:00:00"/>
    <x v="1"/>
    <s v="East"/>
    <n v="1.2E-2"/>
    <s v="Normal Day"/>
  </r>
  <r>
    <x v="486"/>
    <n v="44"/>
    <x v="12"/>
    <x v="481"/>
    <n v="499"/>
    <s v="UPI"/>
    <x v="0"/>
    <n v="37"/>
    <d v="2025-10-15T00:00:00"/>
    <x v="5"/>
    <s v="South"/>
    <n v="0"/>
    <s v="Normal Day"/>
  </r>
  <r>
    <x v="487"/>
    <n v="38"/>
    <x v="18"/>
    <x v="482"/>
    <n v="49"/>
    <s v="Wallet"/>
    <x v="0"/>
    <n v="34"/>
    <d v="2024-11-27T00:00:00"/>
    <x v="6"/>
    <s v="South"/>
    <n v="1.2E-2"/>
    <s v="Normal Day"/>
  </r>
  <r>
    <x v="488"/>
    <n v="325"/>
    <x v="34"/>
    <x v="483"/>
    <n v="49"/>
    <s v="Netbanking"/>
    <x v="2"/>
    <n v="94"/>
    <d v="2025-11-29T00:00:00"/>
    <x v="3"/>
    <s v="West"/>
    <n v="1.4999999999999999E-2"/>
    <s v="Normal Day"/>
  </r>
  <r>
    <x v="489"/>
    <n v="55"/>
    <x v="18"/>
    <x v="484"/>
    <n v="1499"/>
    <s v="Card"/>
    <x v="0"/>
    <n v="0"/>
    <d v="2024-04-01T00:00:00"/>
    <x v="6"/>
    <s v="South"/>
    <n v="0.02"/>
    <s v="Normal Day"/>
  </r>
  <r>
    <x v="490"/>
    <n v="139"/>
    <x v="23"/>
    <x v="485"/>
    <n v="499"/>
    <s v="Card"/>
    <x v="0"/>
    <n v="16"/>
    <d v="2025-11-25T00:00:00"/>
    <x v="6"/>
    <s v="East"/>
    <n v="0.02"/>
    <s v="Normal Day"/>
  </r>
  <r>
    <x v="491"/>
    <n v="230"/>
    <x v="25"/>
    <x v="486"/>
    <n v="99"/>
    <s v="Wallet"/>
    <x v="0"/>
    <n v="71"/>
    <d v="2024-04-13T00:00:00"/>
    <x v="5"/>
    <s v="East"/>
    <n v="1.2E-2"/>
    <s v="Normal Day"/>
  </r>
  <r>
    <x v="492"/>
    <n v="14"/>
    <x v="18"/>
    <x v="487"/>
    <n v="799"/>
    <s v="Card"/>
    <x v="0"/>
    <n v="45"/>
    <d v="2025-01-13T00:00:00"/>
    <x v="6"/>
    <s v="South"/>
    <n v="0.02"/>
    <s v="Normal Day"/>
  </r>
  <r>
    <x v="493"/>
    <n v="307"/>
    <x v="17"/>
    <x v="488"/>
    <n v="799"/>
    <s v="UPI"/>
    <x v="0"/>
    <n v="49"/>
    <d v="2025-06-26T00:00:00"/>
    <x v="6"/>
    <s v="East"/>
    <n v="0"/>
    <s v="Normal Day"/>
  </r>
  <r>
    <x v="494"/>
    <n v="199"/>
    <x v="18"/>
    <x v="489"/>
    <n v="49"/>
    <s v="UPI"/>
    <x v="0"/>
    <n v="92"/>
    <d v="2025-08-29T00:00:00"/>
    <x v="6"/>
    <s v="South"/>
    <n v="0"/>
    <s v="Normal Day"/>
  </r>
  <r>
    <x v="495"/>
    <n v="125"/>
    <x v="21"/>
    <x v="490"/>
    <n v="149"/>
    <s v="Wallet"/>
    <x v="0"/>
    <n v="66"/>
    <d v="2024-09-10T00:00:00"/>
    <x v="5"/>
    <s v="South"/>
    <n v="1.2E-2"/>
    <s v="Normal Day"/>
  </r>
  <r>
    <x v="496"/>
    <n v="87"/>
    <x v="39"/>
    <x v="491"/>
    <n v="149"/>
    <s v="UPI"/>
    <x v="0"/>
    <n v="34"/>
    <d v="2025-06-20T00:00:00"/>
    <x v="1"/>
    <s v="North"/>
    <n v="0"/>
    <s v="Normal Day"/>
  </r>
  <r>
    <x v="497"/>
    <n v="75"/>
    <x v="32"/>
    <x v="492"/>
    <n v="99"/>
    <s v="UPI"/>
    <x v="0"/>
    <n v="21"/>
    <d v="2024-07-08T00:00:00"/>
    <x v="4"/>
    <s v="South"/>
    <n v="0"/>
    <s v="Normal Day"/>
  </r>
  <r>
    <x v="498"/>
    <n v="154"/>
    <x v="20"/>
    <x v="493"/>
    <n v="499"/>
    <s v="Wallet"/>
    <x v="0"/>
    <n v="100"/>
    <d v="2024-05-29T00:00:00"/>
    <x v="0"/>
    <s v="East"/>
    <n v="1.2E-2"/>
    <s v="Normal Day"/>
  </r>
  <r>
    <x v="499"/>
    <n v="127"/>
    <x v="33"/>
    <x v="494"/>
    <n v="149"/>
    <s v="Card"/>
    <x v="0"/>
    <n v="76"/>
    <d v="2024-08-27T00:00:00"/>
    <x v="6"/>
    <s v="West"/>
    <n v="0.02"/>
    <s v="Normal Day"/>
  </r>
  <r>
    <x v="500"/>
    <n v="351"/>
    <x v="23"/>
    <x v="495"/>
    <n v="1999"/>
    <s v="Card"/>
    <x v="2"/>
    <n v="79"/>
    <d v="2026-01-15T06:00:00"/>
    <x v="6"/>
    <s v="East"/>
    <n v="0.02"/>
    <s v="Normal Day"/>
  </r>
  <r>
    <x v="501"/>
    <n v="352"/>
    <x v="12"/>
    <x v="496"/>
    <n v="4999"/>
    <s v="Card"/>
    <x v="2"/>
    <n v="95"/>
    <d v="2025-12-31T12:00:00"/>
    <x v="5"/>
    <s v="South"/>
    <n v="0.02"/>
    <s v="Normal Day"/>
  </r>
  <r>
    <x v="502"/>
    <n v="353"/>
    <x v="10"/>
    <x v="497"/>
    <n v="1999"/>
    <s v="Card"/>
    <x v="2"/>
    <n v="79"/>
    <d v="2026-01-10T14:00:00"/>
    <x v="1"/>
    <s v="South"/>
    <n v="0.02"/>
    <s v="Normal Day"/>
  </r>
  <r>
    <x v="503"/>
    <n v="354"/>
    <x v="6"/>
    <x v="498"/>
    <n v="4999"/>
    <s v="Card"/>
    <x v="2"/>
    <n v="80"/>
    <d v="2025-12-29T19:00:00"/>
    <x v="2"/>
    <s v="East"/>
    <n v="0.02"/>
    <s v="Normal Day"/>
  </r>
  <r>
    <x v="504"/>
    <n v="355"/>
    <x v="13"/>
    <x v="499"/>
    <n v="4999"/>
    <s v="Card"/>
    <x v="2"/>
    <n v="100"/>
    <d v="2026-01-05T12:00:00"/>
    <x v="3"/>
    <s v="North"/>
    <n v="0.02"/>
    <s v="Normal Day"/>
  </r>
  <r>
    <x v="505"/>
    <n v="356"/>
    <x v="14"/>
    <x v="500"/>
    <n v="2999"/>
    <s v="Card"/>
    <x v="2"/>
    <n v="96"/>
    <d v="2026-01-18T07:00:00"/>
    <x v="2"/>
    <s v="South"/>
    <n v="0.02"/>
    <s v="Normal Day"/>
  </r>
  <r>
    <x v="506"/>
    <n v="357"/>
    <x v="21"/>
    <x v="501"/>
    <n v="1999"/>
    <s v="Card"/>
    <x v="2"/>
    <n v="88"/>
    <d v="2026-01-19T11:00:00"/>
    <x v="5"/>
    <s v="South"/>
    <n v="0.02"/>
    <s v="Normal Day"/>
  </r>
  <r>
    <x v="507"/>
    <n v="358"/>
    <x v="25"/>
    <x v="502"/>
    <n v="999"/>
    <s v="Card"/>
    <x v="2"/>
    <n v="100"/>
    <d v="2026-01-06T05:00:00"/>
    <x v="5"/>
    <s v="East"/>
    <n v="0.02"/>
    <s v="Normal Day"/>
  </r>
  <r>
    <x v="508"/>
    <n v="359"/>
    <x v="26"/>
    <x v="503"/>
    <n v="2999"/>
    <s v="Card"/>
    <x v="2"/>
    <n v="96"/>
    <d v="2026-01-18T22:00:00"/>
    <x v="1"/>
    <s v="North"/>
    <n v="0.02"/>
    <s v="Normal Day"/>
  </r>
  <r>
    <x v="509"/>
    <n v="360"/>
    <x v="33"/>
    <x v="504"/>
    <n v="1999"/>
    <s v="Card"/>
    <x v="2"/>
    <n v="90"/>
    <d v="2025-12-22T13:00:00"/>
    <x v="6"/>
    <s v="West"/>
    <n v="0.02"/>
    <s v="Normal Day"/>
  </r>
  <r>
    <x v="510"/>
    <n v="361"/>
    <x v="34"/>
    <x v="505"/>
    <n v="4999"/>
    <s v="Card"/>
    <x v="2"/>
    <n v="95"/>
    <d v="2026-01-11T07:00:00"/>
    <x v="3"/>
    <s v="West"/>
    <n v="0.02"/>
    <s v="Normal Day"/>
  </r>
  <r>
    <x v="511"/>
    <n v="362"/>
    <x v="38"/>
    <x v="506"/>
    <n v="4999"/>
    <s v="Card"/>
    <x v="2"/>
    <n v="88"/>
    <d v="2026-01-08T02:00:00"/>
    <x v="5"/>
    <s v="North"/>
    <n v="0.02"/>
    <s v="Normal Day"/>
  </r>
  <r>
    <x v="512"/>
    <n v="363"/>
    <x v="1"/>
    <x v="507"/>
    <n v="999"/>
    <s v="Card"/>
    <x v="2"/>
    <n v="95"/>
    <d v="2026-01-06T17:00:00"/>
    <x v="1"/>
    <s v="North"/>
    <n v="0.02"/>
    <s v="Normal Day"/>
  </r>
  <r>
    <x v="513"/>
    <n v="364"/>
    <x v="38"/>
    <x v="508"/>
    <n v="999"/>
    <s v="Card"/>
    <x v="2"/>
    <n v="73"/>
    <d v="2026-01-04T22:00:00"/>
    <x v="5"/>
    <s v="North"/>
    <n v="0.02"/>
    <s v="Normal Day"/>
  </r>
  <r>
    <x v="514"/>
    <n v="365"/>
    <x v="5"/>
    <x v="509"/>
    <n v="1999"/>
    <s v="Card"/>
    <x v="2"/>
    <n v="90"/>
    <d v="2025-12-27T21:00:00"/>
    <x v="2"/>
    <s v="North"/>
    <n v="0.02"/>
    <s v="Normal Day"/>
  </r>
  <r>
    <x v="515"/>
    <n v="314"/>
    <x v="22"/>
    <x v="510"/>
    <n v="399"/>
    <s v="Card"/>
    <x v="1"/>
    <n v="87"/>
    <d v="2024-02-22T00:00:00"/>
    <x v="6"/>
    <s v="East"/>
    <n v="0.02"/>
    <s v="Normal Day"/>
  </r>
  <r>
    <x v="516"/>
    <n v="314"/>
    <x v="23"/>
    <x v="511"/>
    <n v="299"/>
    <s v="Card"/>
    <x v="1"/>
    <n v="66"/>
    <d v="2024-02-22T00:00:00"/>
    <x v="6"/>
    <s v="East"/>
    <n v="0.02"/>
    <s v="Normal Day"/>
  </r>
  <r>
    <x v="517"/>
    <n v="314"/>
    <x v="28"/>
    <x v="512"/>
    <n v="299"/>
    <s v="Card"/>
    <x v="1"/>
    <n v="92"/>
    <d v="2024-02-22T00:00:00"/>
    <x v="3"/>
    <s v="North"/>
    <n v="0.02"/>
    <s v="Normal Day"/>
  </r>
  <r>
    <x v="518"/>
    <n v="314"/>
    <x v="36"/>
    <x v="513"/>
    <n v="499"/>
    <s v="Card"/>
    <x v="0"/>
    <n v="74"/>
    <d v="2024-02-22T00:00:00"/>
    <x v="2"/>
    <s v="South"/>
    <n v="0.02"/>
    <s v="Normal Day"/>
  </r>
  <r>
    <x v="519"/>
    <n v="229"/>
    <x v="24"/>
    <x v="514"/>
    <n v="499"/>
    <s v="Card"/>
    <x v="1"/>
    <n v="92"/>
    <d v="2025-10-12T00:00:00"/>
    <x v="2"/>
    <s v="West"/>
    <n v="0.02"/>
    <s v="Normal Day"/>
  </r>
  <r>
    <x v="520"/>
    <n v="229"/>
    <x v="34"/>
    <x v="515"/>
    <n v="399"/>
    <s v="Card"/>
    <x v="1"/>
    <n v="61"/>
    <d v="2025-10-12T00:00:00"/>
    <x v="3"/>
    <s v="West"/>
    <n v="0.02"/>
    <s v="Normal Day"/>
  </r>
  <r>
    <x v="521"/>
    <n v="229"/>
    <x v="20"/>
    <x v="516"/>
    <n v="299"/>
    <s v="Card"/>
    <x v="1"/>
    <n v="78"/>
    <d v="2025-10-12T00:00:00"/>
    <x v="0"/>
    <s v="East"/>
    <n v="0.02"/>
    <s v="Normal Day"/>
  </r>
  <r>
    <x v="522"/>
    <n v="229"/>
    <x v="1"/>
    <x v="517"/>
    <n v="299"/>
    <s v="Card"/>
    <x v="0"/>
    <n v="67"/>
    <d v="2025-10-12T00:00:00"/>
    <x v="1"/>
    <s v="North"/>
    <n v="0.02"/>
    <s v="Normal Day"/>
  </r>
  <r>
    <x v="523"/>
    <n v="73"/>
    <x v="3"/>
    <x v="518"/>
    <n v="399"/>
    <s v="Card"/>
    <x v="1"/>
    <n v="73"/>
    <d v="2025-11-29T00:00:00"/>
    <x v="2"/>
    <s v="South"/>
    <n v="0.02"/>
    <s v="Normal Day"/>
  </r>
  <r>
    <x v="524"/>
    <n v="73"/>
    <x v="36"/>
    <x v="519"/>
    <n v="399"/>
    <s v="Card"/>
    <x v="1"/>
    <n v="82"/>
    <d v="2025-11-29T00:00:00"/>
    <x v="2"/>
    <s v="South"/>
    <n v="0.02"/>
    <s v="Normal Day"/>
  </r>
  <r>
    <x v="525"/>
    <n v="73"/>
    <x v="20"/>
    <x v="520"/>
    <n v="299"/>
    <s v="Card"/>
    <x v="1"/>
    <n v="88"/>
    <d v="2025-11-29T00:00:00"/>
    <x v="0"/>
    <s v="East"/>
    <n v="0.02"/>
    <s v="Normal Day"/>
  </r>
  <r>
    <x v="526"/>
    <n v="73"/>
    <x v="26"/>
    <x v="521"/>
    <n v="399"/>
    <s v="Card"/>
    <x v="0"/>
    <n v="64"/>
    <d v="2025-11-29T00:00:00"/>
    <x v="1"/>
    <s v="North"/>
    <n v="0.02"/>
    <s v="Normal Day"/>
  </r>
  <r>
    <x v="527"/>
    <n v="154"/>
    <x v="30"/>
    <x v="522"/>
    <n v="299"/>
    <s v="Card"/>
    <x v="1"/>
    <n v="81"/>
    <d v="2024-05-29T00:00:00"/>
    <x v="6"/>
    <s v="North"/>
    <n v="0.02"/>
    <s v="Normal Day"/>
  </r>
  <r>
    <x v="528"/>
    <n v="154"/>
    <x v="23"/>
    <x v="523"/>
    <n v="499"/>
    <s v="Card"/>
    <x v="1"/>
    <n v="70"/>
    <d v="2024-05-29T00:00:00"/>
    <x v="6"/>
    <s v="East"/>
    <n v="0.02"/>
    <s v="Normal Day"/>
  </r>
  <r>
    <x v="529"/>
    <n v="154"/>
    <x v="0"/>
    <x v="524"/>
    <n v="499"/>
    <s v="Card"/>
    <x v="1"/>
    <n v="71"/>
    <d v="2024-05-29T00:00:00"/>
    <x v="0"/>
    <s v="West"/>
    <n v="0.02"/>
    <s v="Normal Day"/>
  </r>
  <r>
    <x v="530"/>
    <n v="154"/>
    <x v="25"/>
    <x v="525"/>
    <n v="299"/>
    <s v="Card"/>
    <x v="0"/>
    <n v="81"/>
    <d v="2024-05-29T00:00:00"/>
    <x v="5"/>
    <s v="East"/>
    <n v="0.02"/>
    <s v="Normal Day"/>
  </r>
  <r>
    <x v="531"/>
    <n v="287"/>
    <x v="19"/>
    <x v="526"/>
    <n v="399"/>
    <s v="Card"/>
    <x v="1"/>
    <n v="71"/>
    <d v="2024-11-19T00:00:00"/>
    <x v="2"/>
    <s v="North"/>
    <n v="0.02"/>
    <s v="Normal Day"/>
  </r>
  <r>
    <x v="532"/>
    <n v="287"/>
    <x v="9"/>
    <x v="527"/>
    <n v="499"/>
    <s v="Card"/>
    <x v="1"/>
    <n v="87"/>
    <d v="2024-11-19T00:00:00"/>
    <x v="1"/>
    <s v="East"/>
    <n v="0.02"/>
    <s v="Normal Day"/>
  </r>
  <r>
    <x v="533"/>
    <n v="287"/>
    <x v="22"/>
    <x v="528"/>
    <n v="299"/>
    <s v="Card"/>
    <x v="1"/>
    <n v="72"/>
    <d v="2024-11-19T00:00:00"/>
    <x v="6"/>
    <s v="East"/>
    <n v="0.02"/>
    <s v="Normal Day"/>
  </r>
  <r>
    <x v="534"/>
    <n v="287"/>
    <x v="26"/>
    <x v="529"/>
    <n v="499"/>
    <s v="Card"/>
    <x v="0"/>
    <n v="87"/>
    <d v="2024-11-19T00:00:00"/>
    <x v="1"/>
    <s v="North"/>
    <n v="0.02"/>
    <s v="Normal Day"/>
  </r>
  <r>
    <x v="535"/>
    <n v="200"/>
    <x v="16"/>
    <x v="530"/>
    <n v="299"/>
    <s v="Card"/>
    <x v="1"/>
    <n v="77"/>
    <d v="2025-04-04T00:00:00"/>
    <x v="3"/>
    <s v="East"/>
    <n v="0.02"/>
    <s v="Normal Day"/>
  </r>
  <r>
    <x v="536"/>
    <n v="200"/>
    <x v="32"/>
    <x v="531"/>
    <n v="499"/>
    <s v="Card"/>
    <x v="1"/>
    <n v="66"/>
    <d v="2025-04-04T00:00:00"/>
    <x v="4"/>
    <s v="South"/>
    <n v="0.02"/>
    <s v="Normal Day"/>
  </r>
  <r>
    <x v="537"/>
    <n v="200"/>
    <x v="8"/>
    <x v="532"/>
    <n v="299"/>
    <s v="Card"/>
    <x v="1"/>
    <n v="83"/>
    <d v="2025-04-04T00:00:00"/>
    <x v="4"/>
    <s v="East"/>
    <n v="0.02"/>
    <s v="Normal Day"/>
  </r>
  <r>
    <x v="538"/>
    <n v="200"/>
    <x v="17"/>
    <x v="533"/>
    <n v="299"/>
    <s v="Card"/>
    <x v="0"/>
    <n v="89"/>
    <d v="2025-04-04T00:00:00"/>
    <x v="6"/>
    <s v="East"/>
    <n v="0.02"/>
    <s v="Normal Day"/>
  </r>
  <r>
    <x v="539"/>
    <n v="59"/>
    <x v="33"/>
    <x v="534"/>
    <n v="499"/>
    <s v="Card"/>
    <x v="1"/>
    <n v="80"/>
    <d v="2024-05-15T00:00:00"/>
    <x v="6"/>
    <s v="West"/>
    <n v="0.02"/>
    <s v="Normal Day"/>
  </r>
  <r>
    <x v="540"/>
    <n v="59"/>
    <x v="38"/>
    <x v="535"/>
    <n v="399"/>
    <s v="Card"/>
    <x v="1"/>
    <n v="85"/>
    <d v="2024-05-15T00:00:00"/>
    <x v="5"/>
    <s v="North"/>
    <n v="0.02"/>
    <s v="Normal Day"/>
  </r>
  <r>
    <x v="541"/>
    <n v="59"/>
    <x v="35"/>
    <x v="536"/>
    <n v="299"/>
    <s v="Card"/>
    <x v="1"/>
    <n v="82"/>
    <d v="2024-05-15T00:00:00"/>
    <x v="3"/>
    <s v="East"/>
    <n v="0.02"/>
    <s v="Normal Day"/>
  </r>
  <r>
    <x v="542"/>
    <n v="59"/>
    <x v="5"/>
    <x v="537"/>
    <n v="399"/>
    <s v="Card"/>
    <x v="0"/>
    <n v="71"/>
    <d v="2024-05-15T00:00:00"/>
    <x v="2"/>
    <s v="North"/>
    <n v="0.02"/>
    <s v="Normal Day"/>
  </r>
  <r>
    <x v="543"/>
    <n v="345"/>
    <x v="12"/>
    <x v="538"/>
    <n v="499"/>
    <s v="Card"/>
    <x v="1"/>
    <n v="65"/>
    <d v="2024-09-18T00:00:00"/>
    <x v="5"/>
    <s v="South"/>
    <n v="0.02"/>
    <s v="Normal Day"/>
  </r>
  <r>
    <x v="544"/>
    <n v="345"/>
    <x v="39"/>
    <x v="539"/>
    <n v="399"/>
    <s v="Card"/>
    <x v="1"/>
    <n v="67"/>
    <d v="2024-09-18T00:00:00"/>
    <x v="1"/>
    <s v="North"/>
    <n v="0.02"/>
    <s v="Normal Day"/>
  </r>
  <r>
    <x v="545"/>
    <n v="345"/>
    <x v="0"/>
    <x v="540"/>
    <n v="399"/>
    <s v="Card"/>
    <x v="1"/>
    <n v="67"/>
    <d v="2024-09-18T00:00:00"/>
    <x v="0"/>
    <s v="West"/>
    <n v="0.02"/>
    <s v="Normal Day"/>
  </r>
  <r>
    <x v="546"/>
    <n v="345"/>
    <x v="9"/>
    <x v="541"/>
    <n v="399"/>
    <s v="Card"/>
    <x v="0"/>
    <n v="69"/>
    <d v="2024-09-18T00:00:00"/>
    <x v="1"/>
    <s v="East"/>
    <n v="0.02"/>
    <s v="Normal 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D150A-B3D2-4A88-A564-211EE8050AC0}" name="PivotTable2" cacheId="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Distinct Count of user_id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Varp of user_id"/>
    <pivotHierarchy dragToData="1" caption="Distinct Count of user_id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edger!$A$1:$M$5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A97A9-7D8A-43A4-A89E-1FC0448BC30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6">
    <pivotField dataField="1" showAll="0" countASubtotal="1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countA"/>
      </items>
    </pivotField>
    <pivotField showAll="0"/>
    <pivotField dataField="1" showAll="0" countASubtotal="1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countA"/>
      </items>
    </pivotField>
    <pivotField numFmtId="22" showAll="0">
      <items count="543">
        <item x="106"/>
        <item x="346"/>
        <item x="10"/>
        <item x="217"/>
        <item x="54"/>
        <item x="274"/>
        <item x="489"/>
        <item x="419"/>
        <item x="271"/>
        <item x="43"/>
        <item x="457"/>
        <item x="70"/>
        <item x="166"/>
        <item x="107"/>
        <item x="530"/>
        <item x="531"/>
        <item x="532"/>
        <item x="533"/>
        <item x="471"/>
        <item x="101"/>
        <item x="41"/>
        <item x="168"/>
        <item x="177"/>
        <item x="237"/>
        <item x="425"/>
        <item x="412"/>
        <item x="456"/>
        <item x="510"/>
        <item x="511"/>
        <item x="512"/>
        <item x="513"/>
        <item x="138"/>
        <item x="93"/>
        <item x="522"/>
        <item x="523"/>
        <item x="524"/>
        <item x="525"/>
        <item x="186"/>
        <item x="211"/>
        <item x="330"/>
        <item x="196"/>
        <item x="320"/>
        <item x="162"/>
        <item x="267"/>
        <item x="486"/>
        <item x="304"/>
        <item x="113"/>
        <item x="298"/>
        <item x="494"/>
        <item x="465"/>
        <item x="375"/>
        <item x="343"/>
        <item x="438"/>
        <item x="408"/>
        <item x="243"/>
        <item x="178"/>
        <item x="313"/>
        <item x="289"/>
        <item x="405"/>
        <item x="463"/>
        <item x="111"/>
        <item x="294"/>
        <item x="1"/>
        <item x="224"/>
        <item x="350"/>
        <item x="58"/>
        <item x="156"/>
        <item x="399"/>
        <item x="181"/>
        <item x="26"/>
        <item x="272"/>
        <item x="242"/>
        <item x="311"/>
        <item x="135"/>
        <item x="339"/>
        <item x="18"/>
        <item x="39"/>
        <item x="142"/>
        <item x="231"/>
        <item x="190"/>
        <item x="483"/>
        <item x="394"/>
        <item x="307"/>
        <item x="159"/>
        <item x="89"/>
        <item x="303"/>
        <item x="29"/>
        <item x="85"/>
        <item x="208"/>
        <item x="391"/>
        <item x="87"/>
        <item x="207"/>
        <item x="210"/>
        <item x="245"/>
        <item x="355"/>
        <item x="95"/>
        <item x="474"/>
        <item x="109"/>
        <item x="491"/>
        <item x="5"/>
        <item x="140"/>
        <item x="65"/>
        <item x="454"/>
        <item x="290"/>
        <item x="423"/>
        <item x="201"/>
        <item x="94"/>
        <item x="442"/>
        <item x="71"/>
        <item x="364"/>
        <item x="56"/>
        <item x="331"/>
        <item x="362"/>
        <item x="55"/>
        <item x="6"/>
        <item x="400"/>
        <item x="45"/>
        <item x="97"/>
        <item x="370"/>
        <item x="203"/>
        <item x="338"/>
        <item x="53"/>
        <item x="333"/>
        <item x="403"/>
        <item x="279"/>
        <item x="285"/>
        <item x="411"/>
        <item x="84"/>
        <item x="11"/>
        <item x="183"/>
        <item x="292"/>
        <item x="296"/>
        <item x="79"/>
        <item x="218"/>
        <item x="50"/>
        <item x="122"/>
        <item x="146"/>
        <item x="149"/>
        <item x="117"/>
        <item x="301"/>
        <item x="534"/>
        <item x="535"/>
        <item x="536"/>
        <item x="537"/>
        <item x="155"/>
        <item x="284"/>
        <item x="462"/>
        <item x="216"/>
        <item x="276"/>
        <item x="256"/>
        <item x="82"/>
        <item x="324"/>
        <item x="398"/>
        <item x="430"/>
        <item x="492"/>
        <item x="434"/>
        <item x="485"/>
        <item x="387"/>
        <item x="167"/>
        <item x="250"/>
        <item x="310"/>
        <item x="126"/>
        <item x="249"/>
        <item x="179"/>
        <item x="228"/>
        <item x="367"/>
        <item x="295"/>
        <item x="390"/>
        <item x="451"/>
        <item x="8"/>
        <item x="445"/>
        <item x="38"/>
        <item x="496"/>
        <item x="51"/>
        <item x="33"/>
        <item x="353"/>
        <item x="128"/>
        <item x="46"/>
        <item x="459"/>
        <item x="293"/>
        <item x="163"/>
        <item x="421"/>
        <item x="83"/>
        <item x="270"/>
        <item x="182"/>
        <item x="518"/>
        <item x="519"/>
        <item x="520"/>
        <item x="521"/>
        <item x="254"/>
        <item x="446"/>
        <item x="448"/>
        <item x="514"/>
        <item x="515"/>
        <item x="516"/>
        <item x="517"/>
        <item x="347"/>
        <item x="317"/>
        <item x="287"/>
        <item x="202"/>
        <item x="480"/>
        <item x="174"/>
        <item x="151"/>
        <item x="199"/>
        <item x="368"/>
        <item x="397"/>
        <item x="258"/>
        <item x="437"/>
        <item x="395"/>
        <item x="130"/>
        <item x="152"/>
        <item x="175"/>
        <item x="484"/>
        <item x="466"/>
        <item x="504"/>
        <item x="283"/>
        <item x="88"/>
        <item x="114"/>
        <item x="305"/>
        <item x="13"/>
        <item x="165"/>
        <item x="221"/>
        <item x="461"/>
        <item x="14"/>
        <item x="115"/>
        <item x="120"/>
        <item x="15"/>
        <item x="49"/>
        <item x="414"/>
        <item x="30"/>
        <item x="477"/>
        <item x="340"/>
        <item x="493"/>
        <item x="64"/>
        <item x="40"/>
        <item x="526"/>
        <item x="527"/>
        <item x="528"/>
        <item x="529"/>
        <item x="188"/>
        <item x="194"/>
        <item x="238"/>
        <item x="157"/>
        <item x="300"/>
        <item x="37"/>
        <item x="407"/>
        <item x="447"/>
        <item x="34"/>
        <item x="335"/>
        <item x="193"/>
        <item x="363"/>
        <item x="306"/>
        <item x="148"/>
        <item x="173"/>
        <item x="22"/>
        <item x="342"/>
        <item x="192"/>
        <item x="404"/>
        <item x="123"/>
        <item x="240"/>
        <item x="69"/>
        <item x="187"/>
        <item x="388"/>
        <item x="321"/>
        <item x="410"/>
        <item x="103"/>
        <item x="96"/>
        <item x="225"/>
        <item x="357"/>
        <item x="52"/>
        <item x="432"/>
        <item x="118"/>
        <item x="127"/>
        <item x="386"/>
        <item x="376"/>
        <item x="255"/>
        <item x="369"/>
        <item x="359"/>
        <item x="110"/>
        <item x="499"/>
        <item x="236"/>
        <item x="77"/>
        <item x="352"/>
        <item x="323"/>
        <item x="227"/>
        <item x="214"/>
        <item x="418"/>
        <item x="73"/>
        <item x="209"/>
        <item x="229"/>
        <item x="315"/>
        <item x="325"/>
        <item x="393"/>
        <item x="433"/>
        <item x="308"/>
        <item x="487"/>
        <item x="264"/>
        <item x="409"/>
        <item x="134"/>
        <item x="356"/>
        <item x="282"/>
        <item x="133"/>
        <item x="24"/>
        <item x="124"/>
        <item x="20"/>
        <item x="327"/>
        <item x="488"/>
        <item x="164"/>
        <item x="266"/>
        <item x="381"/>
        <item x="74"/>
        <item x="31"/>
        <item x="78"/>
        <item x="366"/>
        <item x="420"/>
        <item x="436"/>
        <item x="90"/>
        <item x="62"/>
        <item x="104"/>
        <item x="322"/>
        <item x="452"/>
        <item x="509"/>
        <item x="384"/>
        <item x="185"/>
        <item x="328"/>
        <item x="473"/>
        <item x="378"/>
        <item x="86"/>
        <item x="358"/>
        <item x="344"/>
        <item x="223"/>
        <item x="263"/>
        <item x="406"/>
        <item x="348"/>
        <item x="198"/>
        <item x="48"/>
        <item x="481"/>
        <item x="42"/>
        <item x="450"/>
        <item x="396"/>
        <item x="441"/>
        <item x="286"/>
        <item x="61"/>
        <item x="297"/>
        <item x="505"/>
        <item x="200"/>
        <item x="280"/>
        <item x="172"/>
        <item x="213"/>
        <item x="464"/>
        <item x="275"/>
        <item x="278"/>
        <item x="440"/>
        <item x="57"/>
        <item x="345"/>
        <item x="424"/>
        <item x="251"/>
        <item x="444"/>
        <item x="299"/>
        <item x="467"/>
        <item x="383"/>
        <item x="239"/>
        <item x="121"/>
        <item x="100"/>
        <item x="241"/>
        <item x="382"/>
        <item x="379"/>
        <item x="479"/>
        <item x="63"/>
        <item x="247"/>
        <item x="252"/>
        <item x="302"/>
        <item x="497"/>
        <item x="9"/>
        <item x="326"/>
        <item x="498"/>
        <item x="253"/>
        <item x="361"/>
        <item x="472"/>
        <item x="212"/>
        <item x="16"/>
        <item x="392"/>
        <item x="176"/>
        <item x="98"/>
        <item x="195"/>
        <item x="257"/>
        <item x="248"/>
        <item x="112"/>
        <item x="17"/>
        <item x="288"/>
        <item x="460"/>
        <item x="373"/>
        <item x="204"/>
        <item x="281"/>
        <item x="215"/>
        <item x="416"/>
        <item x="508"/>
        <item x="170"/>
        <item x="334"/>
        <item x="506"/>
        <item x="458"/>
        <item x="119"/>
        <item x="76"/>
        <item x="220"/>
        <item x="377"/>
        <item x="538"/>
        <item x="539"/>
        <item x="540"/>
        <item x="541"/>
        <item x="206"/>
        <item x="191"/>
        <item x="501"/>
        <item x="136"/>
        <item x="244"/>
        <item x="380"/>
        <item x="371"/>
        <item x="273"/>
        <item x="507"/>
        <item x="60"/>
        <item x="28"/>
        <item x="314"/>
        <item x="360"/>
        <item x="365"/>
        <item x="139"/>
        <item x="184"/>
        <item x="476"/>
        <item x="443"/>
        <item x="449"/>
        <item x="2"/>
        <item x="19"/>
        <item x="439"/>
        <item x="260"/>
        <item x="341"/>
        <item x="12"/>
        <item x="197"/>
        <item x="219"/>
        <item x="259"/>
        <item x="261"/>
        <item x="81"/>
        <item x="319"/>
        <item x="131"/>
        <item x="153"/>
        <item x="455"/>
        <item x="80"/>
        <item x="401"/>
        <item x="171"/>
        <item x="44"/>
        <item x="426"/>
        <item x="351"/>
        <item x="108"/>
        <item x="35"/>
        <item x="309"/>
        <item x="246"/>
        <item x="337"/>
        <item x="125"/>
        <item x="116"/>
        <item x="91"/>
        <item x="36"/>
        <item x="402"/>
        <item x="233"/>
        <item x="478"/>
        <item x="232"/>
        <item x="428"/>
        <item x="503"/>
        <item x="75"/>
        <item x="141"/>
        <item x="374"/>
        <item x="143"/>
        <item x="99"/>
        <item x="482"/>
        <item x="161"/>
        <item x="154"/>
        <item x="32"/>
        <item x="316"/>
        <item x="262"/>
        <item x="66"/>
        <item x="21"/>
        <item x="277"/>
        <item x="132"/>
        <item x="422"/>
        <item x="312"/>
        <item x="23"/>
        <item x="68"/>
        <item x="7"/>
        <item x="25"/>
        <item x="268"/>
        <item x="453"/>
        <item x="102"/>
        <item x="349"/>
        <item x="230"/>
        <item x="205"/>
        <item x="427"/>
        <item x="67"/>
        <item x="27"/>
        <item x="226"/>
        <item x="180"/>
        <item x="502"/>
        <item x="435"/>
        <item x="265"/>
        <item x="417"/>
        <item x="144"/>
        <item x="468"/>
        <item x="150"/>
        <item x="389"/>
        <item x="137"/>
        <item x="92"/>
        <item x="235"/>
        <item x="336"/>
        <item x="318"/>
        <item x="189"/>
        <item x="429"/>
        <item x="385"/>
        <item x="500"/>
        <item x="147"/>
        <item x="0"/>
        <item x="415"/>
        <item x="3"/>
        <item x="105"/>
        <item x="354"/>
        <item x="469"/>
        <item x="169"/>
        <item x="475"/>
        <item x="490"/>
        <item x="329"/>
        <item x="72"/>
        <item x="332"/>
        <item x="470"/>
        <item x="269"/>
        <item x="222"/>
        <item x="413"/>
        <item x="47"/>
        <item x="431"/>
        <item x="495"/>
        <item x="160"/>
        <item x="158"/>
        <item x="291"/>
        <item x="129"/>
        <item x="59"/>
        <item x="4"/>
        <item x="145"/>
        <item x="234"/>
        <item x="372"/>
        <item t="default"/>
      </items>
    </pivotField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4" showAll="0"/>
    <pivotField showAll="0">
      <items count="8">
        <item x="0"/>
        <item x="1"/>
        <item x="5"/>
        <item x="6"/>
        <item x="3"/>
        <item x="4"/>
        <item x="2"/>
        <item t="default"/>
      </items>
    </pivotField>
    <pivotField showAll="0"/>
    <pivotField numFmtId="10"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inr" fld="4" baseField="0" baseItem="0"/>
    <dataField name="Count of merchant_id" fld="2" subtotal="count" baseField="6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D2A1-EE5D-41DD-BC93-65BEE3382169}">
  <dimension ref="A1:M548"/>
  <sheetViews>
    <sheetView tabSelected="1" workbookViewId="0"/>
  </sheetViews>
  <sheetFormatPr defaultRowHeight="14.4" x14ac:dyDescent="0.3"/>
  <cols>
    <col min="1" max="1" width="12.6640625" bestFit="1" customWidth="1"/>
    <col min="2" max="2" width="6.88671875" bestFit="1" customWidth="1"/>
    <col min="3" max="3" width="11.21875" bestFit="1" customWidth="1"/>
    <col min="4" max="4" width="15" bestFit="1" customWidth="1"/>
    <col min="5" max="5" width="10.44140625" bestFit="1" customWidth="1"/>
    <col min="6" max="6" width="15.5546875" bestFit="1" customWidth="1"/>
    <col min="7" max="7" width="10.21875" bestFit="1" customWidth="1"/>
    <col min="8" max="8" width="9.21875" bestFit="1" customWidth="1"/>
    <col min="9" max="9" width="16" style="3" bestFit="1" customWidth="1"/>
    <col min="10" max="10" width="17.44140625" style="3" bestFit="1" customWidth="1"/>
    <col min="11" max="11" width="15.5546875" style="3" bestFit="1" customWidth="1"/>
    <col min="12" max="12" width="13.33203125" bestFit="1" customWidth="1"/>
    <col min="13" max="13" width="22.88671875" style="3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563</v>
      </c>
      <c r="J1" s="3" t="s">
        <v>618</v>
      </c>
      <c r="K1" s="3" t="s">
        <v>619</v>
      </c>
      <c r="L1" s="3" t="s">
        <v>622</v>
      </c>
      <c r="M1" s="3" t="s">
        <v>623</v>
      </c>
    </row>
    <row r="2" spans="1:13" x14ac:dyDescent="0.3">
      <c r="A2" t="s">
        <v>8</v>
      </c>
      <c r="B2">
        <v>350</v>
      </c>
      <c r="C2">
        <v>16</v>
      </c>
      <c r="D2" s="1">
        <v>46051.467361111114</v>
      </c>
      <c r="E2">
        <v>2999</v>
      </c>
      <c r="F2" t="s">
        <v>9</v>
      </c>
      <c r="G2" t="s">
        <v>10</v>
      </c>
      <c r="H2">
        <v>85</v>
      </c>
      <c r="I2" s="2">
        <f>VLOOKUP(B2,users!$A$1:$B$366,2,0)</f>
        <v>45953</v>
      </c>
      <c r="J2" s="3" t="str">
        <f>IFERROR(VLOOKUP(C2, merchants!$A$1:$D$41, 3, FALSE), "Data Missing")</f>
        <v>bill_payment</v>
      </c>
      <c r="K2" s="3" t="str">
        <f>IFERROR(VLOOKUP(C2, merchants!$A$1:$D$41, 4, FALSE), "Data Missing")</f>
        <v>West</v>
      </c>
      <c r="L2" s="7">
        <f>HLOOKUP(F2,payment_method!$A$1:$E$2,2,0)</f>
        <v>1.2E-2</v>
      </c>
      <c r="M2" s="3" t="str">
        <f>IF(AND(E2&gt;5000, L2&lt;&gt;"East"), "High-Value Merchant Day", "Normal Day")</f>
        <v>Normal Day</v>
      </c>
    </row>
    <row r="3" spans="1:13" x14ac:dyDescent="0.3">
      <c r="A3" t="s">
        <v>11</v>
      </c>
      <c r="B3">
        <v>287</v>
      </c>
      <c r="C3">
        <v>27</v>
      </c>
      <c r="D3" s="1">
        <v>46026.492361111108</v>
      </c>
      <c r="E3">
        <v>49</v>
      </c>
      <c r="F3" t="s">
        <v>12</v>
      </c>
      <c r="G3" t="s">
        <v>10</v>
      </c>
      <c r="H3">
        <v>79</v>
      </c>
      <c r="I3" s="2">
        <f>VLOOKUP(B3,users!$A$1:$B$366,2,0)</f>
        <v>45615</v>
      </c>
      <c r="J3" s="3" t="str">
        <f>IFERROR(VLOOKUP(C3, merchants!$A$1:$D$41, 3, FALSE), "Data Missing")</f>
        <v>ecommerce</v>
      </c>
      <c r="K3" s="3" t="str">
        <f>IFERROR(VLOOKUP(C3, merchants!$A$1:$D$41, 4, FALSE), "Data Missing")</f>
        <v>North</v>
      </c>
      <c r="L3" s="7">
        <f>HLOOKUP(F3,payment_method!$A$1:$E$2,2,0)</f>
        <v>0</v>
      </c>
      <c r="M3" s="3" t="str">
        <f>IF(AND(E3&gt;5000, L3&lt;&gt;"East"), "High-Value Merchant Day", "Normal Day")</f>
        <v>Normal Day</v>
      </c>
    </row>
    <row r="4" spans="1:13" x14ac:dyDescent="0.3">
      <c r="A4" t="s">
        <v>13</v>
      </c>
      <c r="B4">
        <v>122</v>
      </c>
      <c r="C4">
        <v>11</v>
      </c>
      <c r="D4" s="1">
        <v>46046.207638888889</v>
      </c>
      <c r="E4">
        <v>1499</v>
      </c>
      <c r="F4" t="s">
        <v>9</v>
      </c>
      <c r="G4" t="s">
        <v>10</v>
      </c>
      <c r="H4">
        <v>22</v>
      </c>
      <c r="I4" s="2">
        <f>VLOOKUP(B4,users!$A$1:$B$366,2,0)</f>
        <v>45306</v>
      </c>
      <c r="J4" s="3" t="str">
        <f>IFERROR(VLOOKUP(C4, merchants!$A$1:$D$41, 3, FALSE), "Data Missing")</f>
        <v>ecommerce</v>
      </c>
      <c r="K4" s="3" t="str">
        <f>IFERROR(VLOOKUP(C4, merchants!$A$1:$D$41, 4, FALSE), "Data Missing")</f>
        <v>North</v>
      </c>
      <c r="L4" s="7">
        <f>HLOOKUP(F4,payment_method!$A$1:$E$2,2,0)</f>
        <v>1.2E-2</v>
      </c>
      <c r="M4" s="3" t="str">
        <f>IF(AND(E4&gt;5000, L4&lt;&gt;"East"), "High-Value Merchant Day", "Normal Day")</f>
        <v>Normal Day</v>
      </c>
    </row>
    <row r="5" spans="1:13" x14ac:dyDescent="0.3">
      <c r="A5" t="s">
        <v>14</v>
      </c>
      <c r="B5">
        <v>92</v>
      </c>
      <c r="C5">
        <v>22</v>
      </c>
      <c r="D5" s="1">
        <v>46051.542361111111</v>
      </c>
      <c r="E5">
        <v>49</v>
      </c>
      <c r="F5" t="s">
        <v>15</v>
      </c>
      <c r="G5" t="s">
        <v>10</v>
      </c>
      <c r="H5">
        <v>100</v>
      </c>
      <c r="I5" s="2">
        <f>VLOOKUP(B5,users!$A$1:$B$366,2,0)</f>
        <v>45662</v>
      </c>
      <c r="J5" s="3" t="str">
        <f>IFERROR(VLOOKUP(C5, merchants!$A$1:$D$41, 3, FALSE), "Data Missing")</f>
        <v>travel</v>
      </c>
      <c r="K5" s="3" t="str">
        <f>IFERROR(VLOOKUP(C5, merchants!$A$1:$D$41, 4, FALSE), "Data Missing")</f>
        <v>South</v>
      </c>
      <c r="L5" s="7">
        <f>HLOOKUP(F5,payment_method!$A$1:$E$2,2,0)</f>
        <v>1.4999999999999999E-2</v>
      </c>
      <c r="M5" s="3" t="str">
        <f>IF(AND(E5&gt;5000, L5&lt;&gt;"East"), "High-Value Merchant Day", "Normal Day")</f>
        <v>Normal Day</v>
      </c>
    </row>
    <row r="6" spans="1:13" x14ac:dyDescent="0.3">
      <c r="A6" t="s">
        <v>16</v>
      </c>
      <c r="B6">
        <v>343</v>
      </c>
      <c r="C6">
        <v>16</v>
      </c>
      <c r="D6" s="1">
        <v>46052.57708333333</v>
      </c>
      <c r="E6">
        <v>99</v>
      </c>
      <c r="F6" t="s">
        <v>12</v>
      </c>
      <c r="G6" t="s">
        <v>10</v>
      </c>
      <c r="H6">
        <v>34</v>
      </c>
      <c r="I6" s="2">
        <f>VLOOKUP(B6,users!$A$1:$B$366,2,0)</f>
        <v>45428</v>
      </c>
      <c r="J6" s="3" t="str">
        <f>IFERROR(VLOOKUP(C6, merchants!$A$1:$D$41, 3, FALSE), "Data Missing")</f>
        <v>bill_payment</v>
      </c>
      <c r="K6" s="3" t="str">
        <f>IFERROR(VLOOKUP(C6, merchants!$A$1:$D$41, 4, FALSE), "Data Missing")</f>
        <v>West</v>
      </c>
      <c r="L6" s="7">
        <f>HLOOKUP(F6,payment_method!$A$1:$E$2,2,0)</f>
        <v>0</v>
      </c>
      <c r="M6" s="3" t="str">
        <f>IF(AND(E6&gt;5000, L6&lt;&gt;"East"), "High-Value Merchant Day", "Normal Day")</f>
        <v>Normal Day</v>
      </c>
    </row>
    <row r="7" spans="1:13" x14ac:dyDescent="0.3">
      <c r="A7" t="s">
        <v>17</v>
      </c>
      <c r="B7">
        <v>196</v>
      </c>
      <c r="C7">
        <v>3</v>
      </c>
      <c r="D7" s="1">
        <v>46028.92083333333</v>
      </c>
      <c r="E7">
        <v>99</v>
      </c>
      <c r="F7" t="s">
        <v>12</v>
      </c>
      <c r="G7" t="s">
        <v>10</v>
      </c>
      <c r="H7">
        <v>60</v>
      </c>
      <c r="I7" s="2">
        <f>VLOOKUP(B7,users!$A$1:$B$366,2,0)</f>
        <v>45326</v>
      </c>
      <c r="J7" s="3" t="str">
        <f>IFERROR(VLOOKUP(C7, merchants!$A$1:$D$41, 3, FALSE), "Data Missing")</f>
        <v>grocery</v>
      </c>
      <c r="K7" s="3" t="str">
        <f>IFERROR(VLOOKUP(C7, merchants!$A$1:$D$41, 4, FALSE), "Data Missing")</f>
        <v>East</v>
      </c>
      <c r="L7" s="7">
        <f>HLOOKUP(F7,payment_method!$A$1:$E$2,2,0)</f>
        <v>0</v>
      </c>
      <c r="M7" s="3" t="str">
        <f>IF(AND(E7&gt;5000, L7&lt;&gt;"East"), "High-Value Merchant Day", "Normal Day")</f>
        <v>Normal Day</v>
      </c>
    </row>
    <row r="8" spans="1:13" x14ac:dyDescent="0.3">
      <c r="A8" t="s">
        <v>18</v>
      </c>
      <c r="B8">
        <v>236</v>
      </c>
      <c r="C8">
        <v>23</v>
      </c>
      <c r="D8" s="1">
        <v>46030.286111111112</v>
      </c>
      <c r="E8">
        <v>99</v>
      </c>
      <c r="F8" t="s">
        <v>9</v>
      </c>
      <c r="G8" t="s">
        <v>10</v>
      </c>
      <c r="H8">
        <v>39</v>
      </c>
      <c r="I8" s="2">
        <f>VLOOKUP(B8,users!$A$1:$B$366,2,0)</f>
        <v>45473</v>
      </c>
      <c r="J8" s="3" t="str">
        <f>IFERROR(VLOOKUP(C8, merchants!$A$1:$D$41, 3, FALSE), "Data Missing")</f>
        <v>travel</v>
      </c>
      <c r="K8" s="3" t="str">
        <f>IFERROR(VLOOKUP(C8, merchants!$A$1:$D$41, 4, FALSE), "Data Missing")</f>
        <v>North</v>
      </c>
      <c r="L8" s="7">
        <f>HLOOKUP(F8,payment_method!$A$1:$E$2,2,0)</f>
        <v>1.2E-2</v>
      </c>
      <c r="M8" s="3" t="str">
        <f>IF(AND(E8&gt;5000, L8&lt;&gt;"East"), "High-Value Merchant Day", "Normal Day")</f>
        <v>Normal Day</v>
      </c>
    </row>
    <row r="9" spans="1:13" x14ac:dyDescent="0.3">
      <c r="A9" t="s">
        <v>19</v>
      </c>
      <c r="B9">
        <v>13</v>
      </c>
      <c r="C9">
        <v>13</v>
      </c>
      <c r="D9" s="1">
        <v>46049.301388888889</v>
      </c>
      <c r="E9">
        <v>99</v>
      </c>
      <c r="F9" t="s">
        <v>12</v>
      </c>
      <c r="G9" t="s">
        <v>10</v>
      </c>
      <c r="H9">
        <v>51</v>
      </c>
      <c r="I9" s="2">
        <f>VLOOKUP(B9,users!$A$1:$B$366,2,0)</f>
        <v>45961</v>
      </c>
      <c r="J9" s="3" t="str">
        <f>IFERROR(VLOOKUP(C9, merchants!$A$1:$D$41, 3, FALSE), "Data Missing")</f>
        <v>travel</v>
      </c>
      <c r="K9" s="3" t="str">
        <f>IFERROR(VLOOKUP(C9, merchants!$A$1:$D$41, 4, FALSE), "Data Missing")</f>
        <v>East</v>
      </c>
      <c r="L9" s="7">
        <f>HLOOKUP(F9,payment_method!$A$1:$E$2,2,0)</f>
        <v>0</v>
      </c>
      <c r="M9" s="3" t="str">
        <f>IF(AND(E9&gt;5000, L9&lt;&gt;"East"), "High-Value Merchant Day", "Normal Day")</f>
        <v>Normal Day</v>
      </c>
    </row>
    <row r="10" spans="1:13" x14ac:dyDescent="0.3">
      <c r="A10" t="s">
        <v>20</v>
      </c>
      <c r="B10">
        <v>36</v>
      </c>
      <c r="C10">
        <v>18</v>
      </c>
      <c r="D10" s="1">
        <v>46033.371527777781</v>
      </c>
      <c r="E10">
        <v>799</v>
      </c>
      <c r="F10" t="s">
        <v>12</v>
      </c>
      <c r="G10" t="s">
        <v>10</v>
      </c>
      <c r="H10">
        <v>44</v>
      </c>
      <c r="I10" s="2">
        <f>VLOOKUP(B10,users!$A$1:$B$366,2,0)</f>
        <v>45396</v>
      </c>
      <c r="J10" s="3" t="str">
        <f>IFERROR(VLOOKUP(C10, merchants!$A$1:$D$41, 3, FALSE), "Data Missing")</f>
        <v>grocery</v>
      </c>
      <c r="K10" s="3" t="str">
        <f>IFERROR(VLOOKUP(C10, merchants!$A$1:$D$41, 4, FALSE), "Data Missing")</f>
        <v>West</v>
      </c>
      <c r="L10" s="7">
        <f>HLOOKUP(F10,payment_method!$A$1:$E$2,2,0)</f>
        <v>0</v>
      </c>
      <c r="M10" s="3" t="str">
        <f>IF(AND(E10&gt;5000, L10&lt;&gt;"East"), "High-Value Merchant Day", "Normal Day")</f>
        <v>Normal Day</v>
      </c>
    </row>
    <row r="11" spans="1:13" x14ac:dyDescent="0.3">
      <c r="A11" t="s">
        <v>21</v>
      </c>
      <c r="B11">
        <v>348</v>
      </c>
      <c r="C11">
        <v>35</v>
      </c>
      <c r="D11" s="1">
        <v>46043.684027777781</v>
      </c>
      <c r="E11">
        <v>299</v>
      </c>
      <c r="F11" t="s">
        <v>12</v>
      </c>
      <c r="G11" t="s">
        <v>10</v>
      </c>
      <c r="H11">
        <v>42</v>
      </c>
      <c r="I11" s="2">
        <f>VLOOKUP(B11,users!$A$1:$B$366,2,0)</f>
        <v>45678</v>
      </c>
      <c r="J11" s="3" t="str">
        <f>IFERROR(VLOOKUP(C11, merchants!$A$1:$D$41, 3, FALSE), "Data Missing")</f>
        <v>recharge</v>
      </c>
      <c r="K11" s="3" t="str">
        <f>IFERROR(VLOOKUP(C11, merchants!$A$1:$D$41, 4, FALSE), "Data Missing")</f>
        <v>East</v>
      </c>
      <c r="L11" s="7">
        <f>HLOOKUP(F11,payment_method!$A$1:$E$2,2,0)</f>
        <v>0</v>
      </c>
      <c r="M11" s="3" t="str">
        <f>IF(AND(E11&gt;5000, L11&lt;&gt;"East"), "High-Value Merchant Day", "Normal Day")</f>
        <v>Normal Day</v>
      </c>
    </row>
    <row r="12" spans="1:13" x14ac:dyDescent="0.3">
      <c r="A12" t="s">
        <v>22</v>
      </c>
      <c r="B12">
        <v>134</v>
      </c>
      <c r="C12">
        <v>12</v>
      </c>
      <c r="D12" s="1">
        <v>46023.163888888892</v>
      </c>
      <c r="E12">
        <v>49</v>
      </c>
      <c r="F12" t="s">
        <v>12</v>
      </c>
      <c r="G12" t="s">
        <v>10</v>
      </c>
      <c r="H12">
        <v>74</v>
      </c>
      <c r="I12" s="2">
        <f>VLOOKUP(B12,users!$A$1:$B$366,2,0)</f>
        <v>45391</v>
      </c>
      <c r="J12" s="3" t="str">
        <f>IFERROR(VLOOKUP(C12, merchants!$A$1:$D$41, 3, FALSE), "Data Missing")</f>
        <v>ecommerce</v>
      </c>
      <c r="K12" s="3" t="str">
        <f>IFERROR(VLOOKUP(C12, merchants!$A$1:$D$41, 4, FALSE), "Data Missing")</f>
        <v>East</v>
      </c>
      <c r="L12" s="7">
        <f>HLOOKUP(F12,payment_method!$A$1:$E$2,2,0)</f>
        <v>0</v>
      </c>
      <c r="M12" s="3" t="str">
        <f>IF(AND(E12&gt;5000, L12&lt;&gt;"East"), "High-Value Merchant Day", "Normal Day")</f>
        <v>Normal Day</v>
      </c>
    </row>
    <row r="13" spans="1:13" x14ac:dyDescent="0.3">
      <c r="A13" t="s">
        <v>23</v>
      </c>
      <c r="B13">
        <v>306</v>
      </c>
      <c r="C13">
        <v>28</v>
      </c>
      <c r="D13" s="1">
        <v>46031.04583333333</v>
      </c>
      <c r="E13">
        <v>2999</v>
      </c>
      <c r="F13" t="s">
        <v>24</v>
      </c>
      <c r="G13" t="s">
        <v>25</v>
      </c>
      <c r="H13">
        <v>44</v>
      </c>
      <c r="I13" s="2">
        <f>VLOOKUP(B13,users!$A$1:$B$366,2,0)</f>
        <v>45427</v>
      </c>
      <c r="J13" s="3" t="str">
        <f>IFERROR(VLOOKUP(C13, merchants!$A$1:$D$41, 3, FALSE), "Data Missing")</f>
        <v>ecommerce</v>
      </c>
      <c r="K13" s="3" t="str">
        <f>IFERROR(VLOOKUP(C13, merchants!$A$1:$D$41, 4, FALSE), "Data Missing")</f>
        <v>South</v>
      </c>
      <c r="L13" s="7">
        <f>HLOOKUP(F13,payment_method!$A$1:$E$2,2,0)</f>
        <v>0.02</v>
      </c>
      <c r="M13" s="3" t="str">
        <f>IF(AND(E13&gt;5000, L13&lt;&gt;"East"), "High-Value Merchant Day", "Normal Day")</f>
        <v>Normal Day</v>
      </c>
    </row>
    <row r="14" spans="1:13" x14ac:dyDescent="0.3">
      <c r="A14" t="s">
        <v>26</v>
      </c>
      <c r="B14">
        <v>311</v>
      </c>
      <c r="C14">
        <v>33</v>
      </c>
      <c r="D14" s="1">
        <v>46046.435416666667</v>
      </c>
      <c r="E14">
        <v>49</v>
      </c>
      <c r="F14" t="s">
        <v>9</v>
      </c>
      <c r="G14" t="s">
        <v>10</v>
      </c>
      <c r="H14">
        <v>14</v>
      </c>
      <c r="I14" s="2">
        <f>VLOOKUP(B14,users!$A$1:$B$366,2,0)</f>
        <v>45778</v>
      </c>
      <c r="J14" s="3" t="str">
        <f>IFERROR(VLOOKUP(C14, merchants!$A$1:$D$41, 3, FALSE), "Data Missing")</f>
        <v>bill_payment</v>
      </c>
      <c r="K14" s="3" t="str">
        <f>IFERROR(VLOOKUP(C14, merchants!$A$1:$D$41, 4, FALSE), "Data Missing")</f>
        <v>East</v>
      </c>
      <c r="L14" s="7">
        <f>HLOOKUP(F14,payment_method!$A$1:$E$2,2,0)</f>
        <v>1.2E-2</v>
      </c>
      <c r="M14" s="3" t="str">
        <f>IF(AND(E14&gt;5000, L14&lt;&gt;"East"), "High-Value Merchant Day", "Normal Day")</f>
        <v>Normal Day</v>
      </c>
    </row>
    <row r="15" spans="1:13" x14ac:dyDescent="0.3">
      <c r="A15" t="s">
        <v>27</v>
      </c>
      <c r="B15">
        <v>131</v>
      </c>
      <c r="C15">
        <v>3</v>
      </c>
      <c r="D15" s="1">
        <v>46035.758333333331</v>
      </c>
      <c r="E15">
        <v>49</v>
      </c>
      <c r="F15" t="s">
        <v>12</v>
      </c>
      <c r="G15" t="s">
        <v>10</v>
      </c>
      <c r="H15">
        <v>90</v>
      </c>
      <c r="I15" s="2">
        <f>VLOOKUP(B15,users!$A$1:$B$366,2,0)</f>
        <v>45928</v>
      </c>
      <c r="J15" s="3" t="str">
        <f>IFERROR(VLOOKUP(C15, merchants!$A$1:$D$41, 3, FALSE), "Data Missing")</f>
        <v>grocery</v>
      </c>
      <c r="K15" s="3" t="str">
        <f>IFERROR(VLOOKUP(C15, merchants!$A$1:$D$41, 4, FALSE), "Data Missing")</f>
        <v>East</v>
      </c>
      <c r="L15" s="7">
        <f>HLOOKUP(F15,payment_method!$A$1:$E$2,2,0)</f>
        <v>0</v>
      </c>
      <c r="M15" s="3" t="str">
        <f>IF(AND(E15&gt;5000, L15&lt;&gt;"East"), "High-Value Merchant Day", "Normal Day")</f>
        <v>Normal Day</v>
      </c>
    </row>
    <row r="16" spans="1:13" x14ac:dyDescent="0.3">
      <c r="A16" t="s">
        <v>28</v>
      </c>
      <c r="B16">
        <v>276</v>
      </c>
      <c r="C16">
        <v>13</v>
      </c>
      <c r="D16" s="1">
        <v>46036.022916666669</v>
      </c>
      <c r="E16">
        <v>1499</v>
      </c>
      <c r="F16" t="s">
        <v>12</v>
      </c>
      <c r="G16" t="s">
        <v>10</v>
      </c>
      <c r="H16">
        <v>46</v>
      </c>
      <c r="I16" s="2">
        <f>VLOOKUP(B16,users!$A$1:$B$366,2,0)</f>
        <v>45417</v>
      </c>
      <c r="J16" s="3" t="str">
        <f>IFERROR(VLOOKUP(C16, merchants!$A$1:$D$41, 3, FALSE), "Data Missing")</f>
        <v>travel</v>
      </c>
      <c r="K16" s="3" t="str">
        <f>IFERROR(VLOOKUP(C16, merchants!$A$1:$D$41, 4, FALSE), "Data Missing")</f>
        <v>East</v>
      </c>
      <c r="L16" s="7">
        <f>HLOOKUP(F16,payment_method!$A$1:$E$2,2,0)</f>
        <v>0</v>
      </c>
      <c r="M16" s="3" t="str">
        <f>IF(AND(E16&gt;5000, L16&lt;&gt;"East"), "High-Value Merchant Day", "Normal Day")</f>
        <v>Normal Day</v>
      </c>
    </row>
    <row r="17" spans="1:13" x14ac:dyDescent="0.3">
      <c r="A17" t="s">
        <v>29</v>
      </c>
      <c r="B17">
        <v>170</v>
      </c>
      <c r="C17">
        <v>40</v>
      </c>
      <c r="D17" s="1">
        <v>46036.112500000003</v>
      </c>
      <c r="E17">
        <v>99</v>
      </c>
      <c r="F17" t="s">
        <v>12</v>
      </c>
      <c r="G17" t="s">
        <v>10</v>
      </c>
      <c r="H17">
        <v>40</v>
      </c>
      <c r="I17" s="2">
        <f>VLOOKUP(B17,users!$A$1:$B$366,2,0)</f>
        <v>45515</v>
      </c>
      <c r="J17" s="3" t="str">
        <f>IFERROR(VLOOKUP(C17, merchants!$A$1:$D$41, 3, FALSE), "Data Missing")</f>
        <v>entertainment</v>
      </c>
      <c r="K17" s="3" t="str">
        <f>IFERROR(VLOOKUP(C17, merchants!$A$1:$D$41, 4, FALSE), "Data Missing")</f>
        <v>South</v>
      </c>
      <c r="L17" s="7">
        <f>HLOOKUP(F17,payment_method!$A$1:$E$2,2,0)</f>
        <v>0</v>
      </c>
      <c r="M17" s="3" t="str">
        <f>IF(AND(E17&gt;5000, L17&lt;&gt;"East"), "High-Value Merchant Day", "Normal Day")</f>
        <v>Normal Day</v>
      </c>
    </row>
    <row r="18" spans="1:13" x14ac:dyDescent="0.3">
      <c r="A18" t="s">
        <v>30</v>
      </c>
      <c r="B18">
        <v>154</v>
      </c>
      <c r="C18">
        <v>33</v>
      </c>
      <c r="D18" s="1">
        <v>46044.156944444447</v>
      </c>
      <c r="E18">
        <v>99</v>
      </c>
      <c r="F18" t="s">
        <v>15</v>
      </c>
      <c r="G18" t="s">
        <v>10</v>
      </c>
      <c r="H18">
        <v>39</v>
      </c>
      <c r="I18" s="2">
        <f>VLOOKUP(B18,users!$A$1:$B$366,2,0)</f>
        <v>45441</v>
      </c>
      <c r="J18" s="3" t="str">
        <f>IFERROR(VLOOKUP(C18, merchants!$A$1:$D$41, 3, FALSE), "Data Missing")</f>
        <v>bill_payment</v>
      </c>
      <c r="K18" s="3" t="str">
        <f>IFERROR(VLOOKUP(C18, merchants!$A$1:$D$41, 4, FALSE), "Data Missing")</f>
        <v>East</v>
      </c>
      <c r="L18" s="7">
        <f>HLOOKUP(F18,payment_method!$A$1:$E$2,2,0)</f>
        <v>1.4999999999999999E-2</v>
      </c>
      <c r="M18" s="3" t="str">
        <f>IF(AND(E18&gt;5000, L18&lt;&gt;"East"), "High-Value Merchant Day", "Normal Day")</f>
        <v>Normal Day</v>
      </c>
    </row>
    <row r="19" spans="1:13" x14ac:dyDescent="0.3">
      <c r="A19" t="s">
        <v>31</v>
      </c>
      <c r="B19">
        <v>207</v>
      </c>
      <c r="C19">
        <v>19</v>
      </c>
      <c r="D19" s="1">
        <v>46044.555555555555</v>
      </c>
      <c r="E19">
        <v>2999</v>
      </c>
      <c r="F19" t="s">
        <v>24</v>
      </c>
      <c r="G19" t="s">
        <v>10</v>
      </c>
      <c r="H19">
        <v>70</v>
      </c>
      <c r="I19" s="2">
        <f>VLOOKUP(B19,users!$A$1:$B$366,2,0)</f>
        <v>45933</v>
      </c>
      <c r="J19" s="3" t="str">
        <f>IFERROR(VLOOKUP(C19, merchants!$A$1:$D$41, 3, FALSE), "Data Missing")</f>
        <v>grocery</v>
      </c>
      <c r="K19" s="3" t="str">
        <f>IFERROR(VLOOKUP(C19, merchants!$A$1:$D$41, 4, FALSE), "Data Missing")</f>
        <v>North</v>
      </c>
      <c r="L19" s="7">
        <f>HLOOKUP(F19,payment_method!$A$1:$E$2,2,0)</f>
        <v>0.02</v>
      </c>
      <c r="M19" s="3" t="str">
        <f>IF(AND(E19&gt;5000, L19&lt;&gt;"East"), "High-Value Merchant Day", "Normal Day")</f>
        <v>Normal Day</v>
      </c>
    </row>
    <row r="20" spans="1:13" x14ac:dyDescent="0.3">
      <c r="A20" t="s">
        <v>32</v>
      </c>
      <c r="B20">
        <v>341</v>
      </c>
      <c r="C20">
        <v>25</v>
      </c>
      <c r="D20" s="1">
        <v>46027.268055555556</v>
      </c>
      <c r="E20">
        <v>2999</v>
      </c>
      <c r="F20" t="s">
        <v>12</v>
      </c>
      <c r="G20" t="s">
        <v>10</v>
      </c>
      <c r="H20">
        <v>86</v>
      </c>
      <c r="I20" s="2">
        <f>VLOOKUP(B20,users!$A$1:$B$366,2,0)</f>
        <v>45615</v>
      </c>
      <c r="J20" s="3" t="str">
        <f>IFERROR(VLOOKUP(C20, merchants!$A$1:$D$41, 3, FALSE), "Data Missing")</f>
        <v>travel</v>
      </c>
      <c r="K20" s="3" t="str">
        <f>IFERROR(VLOOKUP(C20, merchants!$A$1:$D$41, 4, FALSE), "Data Missing")</f>
        <v>South</v>
      </c>
      <c r="L20" s="7">
        <f>HLOOKUP(F20,payment_method!$A$1:$E$2,2,0)</f>
        <v>0</v>
      </c>
      <c r="M20" s="3" t="str">
        <f>IF(AND(E20&gt;5000, L20&lt;&gt;"East"), "High-Value Merchant Day", "Normal Day")</f>
        <v>Normal Day</v>
      </c>
    </row>
    <row r="21" spans="1:13" x14ac:dyDescent="0.3">
      <c r="A21" t="s">
        <v>33</v>
      </c>
      <c r="B21">
        <v>292</v>
      </c>
      <c r="C21">
        <v>20</v>
      </c>
      <c r="D21" s="1">
        <v>46046.23541666667</v>
      </c>
      <c r="E21">
        <v>49</v>
      </c>
      <c r="F21" t="s">
        <v>12</v>
      </c>
      <c r="G21" t="s">
        <v>10</v>
      </c>
      <c r="H21">
        <v>51</v>
      </c>
      <c r="I21" s="2">
        <f>VLOOKUP(B21,users!$A$1:$B$366,2,0)</f>
        <v>45684</v>
      </c>
      <c r="J21" s="3" t="str">
        <f>IFERROR(VLOOKUP(C21, merchants!$A$1:$D$41, 3, FALSE), "Data Missing")</f>
        <v>food_delivery</v>
      </c>
      <c r="K21" s="3" t="str">
        <f>IFERROR(VLOOKUP(C21, merchants!$A$1:$D$41, 4, FALSE), "Data Missing")</f>
        <v>East</v>
      </c>
      <c r="L21" s="7">
        <f>HLOOKUP(F21,payment_method!$A$1:$E$2,2,0)</f>
        <v>0</v>
      </c>
      <c r="M21" s="3" t="str">
        <f>IF(AND(E21&gt;5000, L21&lt;&gt;"East"), "High-Value Merchant Day", "Normal Day")</f>
        <v>Normal Day</v>
      </c>
    </row>
    <row r="22" spans="1:13" x14ac:dyDescent="0.3">
      <c r="A22" t="s">
        <v>34</v>
      </c>
      <c r="B22">
        <v>147</v>
      </c>
      <c r="C22">
        <v>14</v>
      </c>
      <c r="D22" s="1">
        <v>46040.013194444444</v>
      </c>
      <c r="E22">
        <v>99</v>
      </c>
      <c r="F22" t="s">
        <v>24</v>
      </c>
      <c r="G22" t="s">
        <v>10</v>
      </c>
      <c r="H22">
        <v>55</v>
      </c>
      <c r="I22" s="2">
        <f>VLOOKUP(B22,users!$A$1:$B$366,2,0)</f>
        <v>45921</v>
      </c>
      <c r="J22" s="3" t="str">
        <f>IFERROR(VLOOKUP(C22, merchants!$A$1:$D$41, 3, FALSE), "Data Missing")</f>
        <v>grocery</v>
      </c>
      <c r="K22" s="3" t="str">
        <f>IFERROR(VLOOKUP(C22, merchants!$A$1:$D$41, 4, FALSE), "Data Missing")</f>
        <v>East</v>
      </c>
      <c r="L22" s="7">
        <f>HLOOKUP(F22,payment_method!$A$1:$E$2,2,0)</f>
        <v>0.02</v>
      </c>
      <c r="M22" s="3" t="str">
        <f>IF(AND(E22&gt;5000, L22&lt;&gt;"East"), "High-Value Merchant Day", "Normal Day")</f>
        <v>Normal Day</v>
      </c>
    </row>
    <row r="23" spans="1:13" x14ac:dyDescent="0.3">
      <c r="A23" t="s">
        <v>35</v>
      </c>
      <c r="B23">
        <v>336</v>
      </c>
      <c r="C23">
        <v>21</v>
      </c>
      <c r="D23" s="1">
        <v>46048.776388888888</v>
      </c>
      <c r="E23">
        <v>99</v>
      </c>
      <c r="F23" t="s">
        <v>12</v>
      </c>
      <c r="G23" t="s">
        <v>10</v>
      </c>
      <c r="H23">
        <v>59</v>
      </c>
      <c r="I23" s="2">
        <f>VLOOKUP(B23,users!$A$1:$B$366,2,0)</f>
        <v>45879</v>
      </c>
      <c r="J23" s="3" t="str">
        <f>IFERROR(VLOOKUP(C23, merchants!$A$1:$D$41, 3, FALSE), "Data Missing")</f>
        <v>food_delivery</v>
      </c>
      <c r="K23" s="3" t="str">
        <f>IFERROR(VLOOKUP(C23, merchants!$A$1:$D$41, 4, FALSE), "Data Missing")</f>
        <v>East</v>
      </c>
      <c r="L23" s="7">
        <f>HLOOKUP(F23,payment_method!$A$1:$E$2,2,0)</f>
        <v>0</v>
      </c>
      <c r="M23" s="3" t="str">
        <f>IF(AND(E23&gt;5000, L23&lt;&gt;"East"), "High-Value Merchant Day", "Normal Day")</f>
        <v>Normal Day</v>
      </c>
    </row>
    <row r="24" spans="1:13" x14ac:dyDescent="0.3">
      <c r="A24" t="s">
        <v>36</v>
      </c>
      <c r="B24">
        <v>110</v>
      </c>
      <c r="C24">
        <v>33</v>
      </c>
      <c r="D24" s="1">
        <v>46037.613194444442</v>
      </c>
      <c r="E24">
        <v>799</v>
      </c>
      <c r="F24" t="s">
        <v>12</v>
      </c>
      <c r="G24" t="s">
        <v>10</v>
      </c>
      <c r="H24">
        <v>60</v>
      </c>
      <c r="I24" s="2">
        <f>VLOOKUP(B24,users!$A$1:$B$366,2,0)</f>
        <v>45507</v>
      </c>
      <c r="J24" s="3" t="str">
        <f>IFERROR(VLOOKUP(C24, merchants!$A$1:$D$41, 3, FALSE), "Data Missing")</f>
        <v>bill_payment</v>
      </c>
      <c r="K24" s="3" t="str">
        <f>IFERROR(VLOOKUP(C24, merchants!$A$1:$D$41, 4, FALSE), "Data Missing")</f>
        <v>East</v>
      </c>
      <c r="L24" s="7">
        <f>HLOOKUP(F24,payment_method!$A$1:$E$2,2,0)</f>
        <v>0</v>
      </c>
      <c r="M24" s="3" t="str">
        <f>IF(AND(E24&gt;5000, L24&lt;&gt;"East"), "High-Value Merchant Day", "Normal Day")</f>
        <v>Normal Day</v>
      </c>
    </row>
    <row r="25" spans="1:13" x14ac:dyDescent="0.3">
      <c r="A25" t="s">
        <v>37</v>
      </c>
      <c r="B25">
        <v>338</v>
      </c>
      <c r="C25">
        <v>6</v>
      </c>
      <c r="D25" s="1">
        <v>46048.965277777781</v>
      </c>
      <c r="E25">
        <v>799</v>
      </c>
      <c r="F25" t="s">
        <v>12</v>
      </c>
      <c r="G25" t="s">
        <v>38</v>
      </c>
      <c r="H25">
        <v>36</v>
      </c>
      <c r="I25" s="2">
        <f>VLOOKUP(B25,users!$A$1:$B$366,2,0)</f>
        <v>45841</v>
      </c>
      <c r="J25" s="3" t="str">
        <f>IFERROR(VLOOKUP(C25, merchants!$A$1:$D$41, 3, FALSE), "Data Missing")</f>
        <v>food_delivery</v>
      </c>
      <c r="K25" s="3" t="str">
        <f>IFERROR(VLOOKUP(C25, merchants!$A$1:$D$41, 4, FALSE), "Data Missing")</f>
        <v>South</v>
      </c>
      <c r="L25" s="7">
        <f>HLOOKUP(F25,payment_method!$A$1:$E$2,2,0)</f>
        <v>0</v>
      </c>
      <c r="M25" s="3" t="str">
        <f>IF(AND(E25&gt;5000, L25&lt;&gt;"East"), "High-Value Merchant Day", "Normal Day")</f>
        <v>Normal Day</v>
      </c>
    </row>
    <row r="26" spans="1:13" x14ac:dyDescent="0.3">
      <c r="A26" t="s">
        <v>39</v>
      </c>
      <c r="B26">
        <v>318</v>
      </c>
      <c r="C26">
        <v>22</v>
      </c>
      <c r="D26" s="1">
        <v>46039.902777777781</v>
      </c>
      <c r="E26">
        <v>799</v>
      </c>
      <c r="F26" t="s">
        <v>9</v>
      </c>
      <c r="G26" t="s">
        <v>10</v>
      </c>
      <c r="H26">
        <v>11</v>
      </c>
      <c r="I26" s="2">
        <f>VLOOKUP(B26,users!$A$1:$B$366,2,0)</f>
        <v>45736</v>
      </c>
      <c r="J26" s="3" t="str">
        <f>IFERROR(VLOOKUP(C26, merchants!$A$1:$D$41, 3, FALSE), "Data Missing")</f>
        <v>travel</v>
      </c>
      <c r="K26" s="3" t="str">
        <f>IFERROR(VLOOKUP(C26, merchants!$A$1:$D$41, 4, FALSE), "Data Missing")</f>
        <v>South</v>
      </c>
      <c r="L26" s="7">
        <f>HLOOKUP(F26,payment_method!$A$1:$E$2,2,0)</f>
        <v>1.2E-2</v>
      </c>
      <c r="M26" s="3" t="str">
        <f>IF(AND(E26&gt;5000, L26&lt;&gt;"East"), "High-Value Merchant Day", "Normal Day")</f>
        <v>Normal Day</v>
      </c>
    </row>
    <row r="27" spans="1:13" x14ac:dyDescent="0.3">
      <c r="A27" t="s">
        <v>40</v>
      </c>
      <c r="B27">
        <v>159</v>
      </c>
      <c r="C27">
        <v>15</v>
      </c>
      <c r="D27" s="1">
        <v>46049.321527777778</v>
      </c>
      <c r="E27">
        <v>799</v>
      </c>
      <c r="F27" t="s">
        <v>12</v>
      </c>
      <c r="G27" t="s">
        <v>10</v>
      </c>
      <c r="H27">
        <v>25</v>
      </c>
      <c r="I27" s="2">
        <f>VLOOKUP(B27,users!$A$1:$B$366,2,0)</f>
        <v>45745</v>
      </c>
      <c r="J27" s="3" t="str">
        <f>IFERROR(VLOOKUP(C27, merchants!$A$1:$D$41, 3, FALSE), "Data Missing")</f>
        <v>travel</v>
      </c>
      <c r="K27" s="3" t="str">
        <f>IFERROR(VLOOKUP(C27, merchants!$A$1:$D$41, 4, FALSE), "Data Missing")</f>
        <v>North</v>
      </c>
      <c r="L27" s="7">
        <f>HLOOKUP(F27,payment_method!$A$1:$E$2,2,0)</f>
        <v>0</v>
      </c>
      <c r="M27" s="3" t="str">
        <f>IF(AND(E27&gt;5000, L27&lt;&gt;"East"), "High-Value Merchant Day", "Normal Day")</f>
        <v>Normal Day</v>
      </c>
    </row>
    <row r="28" spans="1:13" x14ac:dyDescent="0.3">
      <c r="A28" t="s">
        <v>41</v>
      </c>
      <c r="B28">
        <v>126</v>
      </c>
      <c r="C28">
        <v>31</v>
      </c>
      <c r="D28" s="1">
        <v>46027.001388888886</v>
      </c>
      <c r="E28">
        <v>49</v>
      </c>
      <c r="F28" t="s">
        <v>24</v>
      </c>
      <c r="G28" t="s">
        <v>10</v>
      </c>
      <c r="H28">
        <v>78</v>
      </c>
      <c r="I28" s="2">
        <f>VLOOKUP(B28,users!$A$1:$B$366,2,0)</f>
        <v>45464</v>
      </c>
      <c r="J28" s="3" t="str">
        <f>IFERROR(VLOOKUP(C28, merchants!$A$1:$D$41, 3, FALSE), "Data Missing")</f>
        <v>bill_payment</v>
      </c>
      <c r="K28" s="3" t="str">
        <f>IFERROR(VLOOKUP(C28, merchants!$A$1:$D$41, 4, FALSE), "Data Missing")</f>
        <v>East</v>
      </c>
      <c r="L28" s="7">
        <f>HLOOKUP(F28,payment_method!$A$1:$E$2,2,0)</f>
        <v>0.02</v>
      </c>
      <c r="M28" s="3" t="str">
        <f>IF(AND(E28&gt;5000, L28&lt;&gt;"East"), "High-Value Merchant Day", "Normal Day")</f>
        <v>Normal Day</v>
      </c>
    </row>
    <row r="29" spans="1:13" x14ac:dyDescent="0.3">
      <c r="A29" t="s">
        <v>42</v>
      </c>
      <c r="B29">
        <v>213</v>
      </c>
      <c r="C29">
        <v>37</v>
      </c>
      <c r="D29" s="1">
        <v>46050.103472222225</v>
      </c>
      <c r="E29">
        <v>99</v>
      </c>
      <c r="F29" t="s">
        <v>12</v>
      </c>
      <c r="G29" t="s">
        <v>10</v>
      </c>
      <c r="H29">
        <v>24</v>
      </c>
      <c r="I29" s="2">
        <f>VLOOKUP(B29,users!$A$1:$B$366,2,0)</f>
        <v>45528</v>
      </c>
      <c r="J29" s="3" t="str">
        <f>IFERROR(VLOOKUP(C29, merchants!$A$1:$D$41, 3, FALSE), "Data Missing")</f>
        <v>entertainment</v>
      </c>
      <c r="K29" s="3" t="str">
        <f>IFERROR(VLOOKUP(C29, merchants!$A$1:$D$41, 4, FALSE), "Data Missing")</f>
        <v>South</v>
      </c>
      <c r="L29" s="7">
        <f>HLOOKUP(F29,payment_method!$A$1:$E$2,2,0)</f>
        <v>0</v>
      </c>
      <c r="M29" s="3" t="str">
        <f>IF(AND(E29&gt;5000, L29&lt;&gt;"East"), "High-Value Merchant Day", "Normal Day")</f>
        <v>Normal Day</v>
      </c>
    </row>
    <row r="30" spans="1:13" x14ac:dyDescent="0.3">
      <c r="A30" t="s">
        <v>43</v>
      </c>
      <c r="B30">
        <v>254</v>
      </c>
      <c r="C30">
        <v>26</v>
      </c>
      <c r="D30" s="1">
        <v>46045.933333333334</v>
      </c>
      <c r="E30">
        <v>99</v>
      </c>
      <c r="F30" t="s">
        <v>9</v>
      </c>
      <c r="G30" t="s">
        <v>10</v>
      </c>
      <c r="H30">
        <v>31</v>
      </c>
      <c r="I30" s="2">
        <f>VLOOKUP(B30,users!$A$1:$B$366,2,0)</f>
        <v>45320</v>
      </c>
      <c r="J30" s="3" t="str">
        <f>IFERROR(VLOOKUP(C30, merchants!$A$1:$D$41, 3, FALSE), "Data Missing")</f>
        <v>food_delivery</v>
      </c>
      <c r="K30" s="3" t="str">
        <f>IFERROR(VLOOKUP(C30, merchants!$A$1:$D$41, 4, FALSE), "Data Missing")</f>
        <v>East</v>
      </c>
      <c r="L30" s="7">
        <f>HLOOKUP(F30,payment_method!$A$1:$E$2,2,0)</f>
        <v>1.2E-2</v>
      </c>
      <c r="M30" s="3" t="str">
        <f>IF(AND(E30&gt;5000, L30&lt;&gt;"East"), "High-Value Merchant Day", "Normal Day")</f>
        <v>Normal Day</v>
      </c>
    </row>
    <row r="31" spans="1:13" x14ac:dyDescent="0.3">
      <c r="A31" t="s">
        <v>44</v>
      </c>
      <c r="B31">
        <v>3</v>
      </c>
      <c r="C31">
        <v>7</v>
      </c>
      <c r="D31" s="1">
        <v>46027.863888888889</v>
      </c>
      <c r="E31">
        <v>1499</v>
      </c>
      <c r="F31" t="s">
        <v>12</v>
      </c>
      <c r="G31" t="s">
        <v>10</v>
      </c>
      <c r="H31">
        <v>99</v>
      </c>
      <c r="I31" s="2">
        <f>VLOOKUP(B31,users!$A$1:$B$366,2,0)</f>
        <v>45826</v>
      </c>
      <c r="J31" s="3" t="str">
        <f>IFERROR(VLOOKUP(C31, merchants!$A$1:$D$41, 3, FALSE), "Data Missing")</f>
        <v>food_delivery</v>
      </c>
      <c r="K31" s="3" t="str">
        <f>IFERROR(VLOOKUP(C31, merchants!$A$1:$D$41, 4, FALSE), "Data Missing")</f>
        <v>East</v>
      </c>
      <c r="L31" s="7">
        <f>HLOOKUP(F31,payment_method!$A$1:$E$2,2,0)</f>
        <v>0</v>
      </c>
      <c r="M31" s="3" t="str">
        <f>IF(AND(E31&gt;5000, L31&lt;&gt;"East"), "High-Value Merchant Day", "Normal Day")</f>
        <v>Normal Day</v>
      </c>
    </row>
    <row r="32" spans="1:13" x14ac:dyDescent="0.3">
      <c r="A32" t="s">
        <v>45</v>
      </c>
      <c r="B32">
        <v>266</v>
      </c>
      <c r="C32">
        <v>30</v>
      </c>
      <c r="D32" s="1">
        <v>46036.299305555556</v>
      </c>
      <c r="E32">
        <v>499</v>
      </c>
      <c r="F32" t="s">
        <v>24</v>
      </c>
      <c r="G32" t="s">
        <v>10</v>
      </c>
      <c r="H32">
        <v>6</v>
      </c>
      <c r="I32" s="2">
        <f>VLOOKUP(B32,users!$A$1:$B$366,2,0)</f>
        <v>45859</v>
      </c>
      <c r="J32" s="3" t="str">
        <f>IFERROR(VLOOKUP(C32, merchants!$A$1:$D$41, 3, FALSE), "Data Missing")</f>
        <v>travel</v>
      </c>
      <c r="K32" s="3" t="str">
        <f>IFERROR(VLOOKUP(C32, merchants!$A$1:$D$41, 4, FALSE), "Data Missing")</f>
        <v>West</v>
      </c>
      <c r="L32" s="7">
        <f>HLOOKUP(F32,payment_method!$A$1:$E$2,2,0)</f>
        <v>0.02</v>
      </c>
      <c r="M32" s="3" t="str">
        <f>IF(AND(E32&gt;5000, L32&lt;&gt;"East"), "High-Value Merchant Day", "Normal Day")</f>
        <v>Normal Day</v>
      </c>
    </row>
    <row r="33" spans="1:13" x14ac:dyDescent="0.3">
      <c r="A33" t="s">
        <v>46</v>
      </c>
      <c r="B33">
        <v>63</v>
      </c>
      <c r="C33">
        <v>30</v>
      </c>
      <c r="D33" s="1">
        <v>46040.331944444442</v>
      </c>
      <c r="E33">
        <v>799</v>
      </c>
      <c r="F33" t="s">
        <v>12</v>
      </c>
      <c r="G33" t="s">
        <v>10</v>
      </c>
      <c r="H33">
        <v>17</v>
      </c>
      <c r="I33" s="2">
        <f>VLOOKUP(B33,users!$A$1:$B$366,2,0)</f>
        <v>45295</v>
      </c>
      <c r="J33" s="3" t="str">
        <f>IFERROR(VLOOKUP(C33, merchants!$A$1:$D$41, 3, FALSE), "Data Missing")</f>
        <v>travel</v>
      </c>
      <c r="K33" s="3" t="str">
        <f>IFERROR(VLOOKUP(C33, merchants!$A$1:$D$41, 4, FALSE), "Data Missing")</f>
        <v>West</v>
      </c>
      <c r="L33" s="7">
        <f>HLOOKUP(F33,payment_method!$A$1:$E$2,2,0)</f>
        <v>0</v>
      </c>
      <c r="M33" s="3" t="str">
        <f>IF(AND(E33&gt;5000, L33&lt;&gt;"East"), "High-Value Merchant Day", "Normal Day")</f>
        <v>Normal Day</v>
      </c>
    </row>
    <row r="34" spans="1:13" x14ac:dyDescent="0.3">
      <c r="A34" t="s">
        <v>47</v>
      </c>
      <c r="B34">
        <v>272</v>
      </c>
      <c r="C34">
        <v>36</v>
      </c>
      <c r="D34" s="1">
        <v>46048.612500000003</v>
      </c>
      <c r="E34">
        <v>149</v>
      </c>
      <c r="F34" t="s">
        <v>12</v>
      </c>
      <c r="G34" t="s">
        <v>10</v>
      </c>
      <c r="H34">
        <v>76</v>
      </c>
      <c r="I34" s="2">
        <f>VLOOKUP(B34,users!$A$1:$B$366,2,0)</f>
        <v>45919</v>
      </c>
      <c r="J34" s="3" t="str">
        <f>IFERROR(VLOOKUP(C34, merchants!$A$1:$D$41, 3, FALSE), "Data Missing")</f>
        <v>entertainment</v>
      </c>
      <c r="K34" s="3" t="str">
        <f>IFERROR(VLOOKUP(C34, merchants!$A$1:$D$41, 4, FALSE), "Data Missing")</f>
        <v>East</v>
      </c>
      <c r="L34" s="7">
        <f>HLOOKUP(F34,payment_method!$A$1:$E$2,2,0)</f>
        <v>0</v>
      </c>
      <c r="M34" s="3" t="str">
        <f>IF(AND(E34&gt;5000, L34&lt;&gt;"East"), "High-Value Merchant Day", "Normal Day")</f>
        <v>Normal Day</v>
      </c>
    </row>
    <row r="35" spans="1:13" x14ac:dyDescent="0.3">
      <c r="A35" t="s">
        <v>48</v>
      </c>
      <c r="B35">
        <v>259</v>
      </c>
      <c r="C35">
        <v>28</v>
      </c>
      <c r="D35" s="1">
        <v>46033.61041666667</v>
      </c>
      <c r="E35">
        <v>49</v>
      </c>
      <c r="F35" t="s">
        <v>9</v>
      </c>
      <c r="G35" t="s">
        <v>10</v>
      </c>
      <c r="H35">
        <v>70</v>
      </c>
      <c r="I35" s="2">
        <f>VLOOKUP(B35,users!$A$1:$B$366,2,0)</f>
        <v>45726</v>
      </c>
      <c r="J35" s="3" t="str">
        <f>IFERROR(VLOOKUP(C35, merchants!$A$1:$D$41, 3, FALSE), "Data Missing")</f>
        <v>ecommerce</v>
      </c>
      <c r="K35" s="3" t="str">
        <f>IFERROR(VLOOKUP(C35, merchants!$A$1:$D$41, 4, FALSE), "Data Missing")</f>
        <v>South</v>
      </c>
      <c r="L35" s="7">
        <f>HLOOKUP(F35,payment_method!$A$1:$E$2,2,0)</f>
        <v>1.2E-2</v>
      </c>
      <c r="M35" s="3" t="str">
        <f>IF(AND(E35&gt;5000, L35&lt;&gt;"East"), "High-Value Merchant Day", "Normal Day")</f>
        <v>Normal Day</v>
      </c>
    </row>
    <row r="36" spans="1:13" x14ac:dyDescent="0.3">
      <c r="A36" t="s">
        <v>49</v>
      </c>
      <c r="B36">
        <v>244</v>
      </c>
      <c r="C36">
        <v>29</v>
      </c>
      <c r="D36" s="1">
        <v>46037.240972222222</v>
      </c>
      <c r="E36">
        <v>299</v>
      </c>
      <c r="F36" t="s">
        <v>15</v>
      </c>
      <c r="G36" t="s">
        <v>10</v>
      </c>
      <c r="H36">
        <v>33</v>
      </c>
      <c r="I36" s="2">
        <f>VLOOKUP(B36,users!$A$1:$B$366,2,0)</f>
        <v>45580</v>
      </c>
      <c r="J36" s="3" t="str">
        <f>IFERROR(VLOOKUP(C36, merchants!$A$1:$D$41, 3, FALSE), "Data Missing")</f>
        <v>ecommerce</v>
      </c>
      <c r="K36" s="3" t="str">
        <f>IFERROR(VLOOKUP(C36, merchants!$A$1:$D$41, 4, FALSE), "Data Missing")</f>
        <v>North</v>
      </c>
      <c r="L36" s="7">
        <f>HLOOKUP(F36,payment_method!$A$1:$E$2,2,0)</f>
        <v>1.4999999999999999E-2</v>
      </c>
      <c r="M36" s="3" t="str">
        <f>IF(AND(E36&gt;5000, L36&lt;&gt;"East"), "High-Value Merchant Day", "Normal Day")</f>
        <v>Normal Day</v>
      </c>
    </row>
    <row r="37" spans="1:13" x14ac:dyDescent="0.3">
      <c r="A37" t="s">
        <v>50</v>
      </c>
      <c r="B37">
        <v>327</v>
      </c>
      <c r="C37">
        <v>18</v>
      </c>
      <c r="D37" s="1">
        <v>46047.328472222223</v>
      </c>
      <c r="E37">
        <v>149</v>
      </c>
      <c r="F37" t="s">
        <v>24</v>
      </c>
      <c r="G37" t="s">
        <v>10</v>
      </c>
      <c r="H37">
        <v>98</v>
      </c>
      <c r="I37" s="2">
        <f>VLOOKUP(B37,users!$A$1:$B$366,2,0)</f>
        <v>45860</v>
      </c>
      <c r="J37" s="3" t="str">
        <f>IFERROR(VLOOKUP(C37, merchants!$A$1:$D$41, 3, FALSE), "Data Missing")</f>
        <v>grocery</v>
      </c>
      <c r="K37" s="3" t="str">
        <f>IFERROR(VLOOKUP(C37, merchants!$A$1:$D$41, 4, FALSE), "Data Missing")</f>
        <v>West</v>
      </c>
      <c r="L37" s="7">
        <f>HLOOKUP(F37,payment_method!$A$1:$E$2,2,0)</f>
        <v>0.02</v>
      </c>
      <c r="M37" s="3" t="str">
        <f>IF(AND(E37&gt;5000, L37&lt;&gt;"East"), "High-Value Merchant Day", "Normal Day")</f>
        <v>Normal Day</v>
      </c>
    </row>
    <row r="38" spans="1:13" x14ac:dyDescent="0.3">
      <c r="A38" t="s">
        <v>51</v>
      </c>
      <c r="B38">
        <v>321</v>
      </c>
      <c r="C38">
        <v>16</v>
      </c>
      <c r="D38" s="1">
        <v>46047.688194444447</v>
      </c>
      <c r="E38">
        <v>49</v>
      </c>
      <c r="F38" t="s">
        <v>12</v>
      </c>
      <c r="G38" t="s">
        <v>10</v>
      </c>
      <c r="H38">
        <v>35</v>
      </c>
      <c r="I38" s="2">
        <f>VLOOKUP(B38,users!$A$1:$B$366,2,0)</f>
        <v>45344</v>
      </c>
      <c r="J38" s="3" t="str">
        <f>IFERROR(VLOOKUP(C38, merchants!$A$1:$D$41, 3, FALSE), "Data Missing")</f>
        <v>bill_payment</v>
      </c>
      <c r="K38" s="3" t="str">
        <f>IFERROR(VLOOKUP(C38, merchants!$A$1:$D$41, 4, FALSE), "Data Missing")</f>
        <v>West</v>
      </c>
      <c r="L38" s="7">
        <f>HLOOKUP(F38,payment_method!$A$1:$E$2,2,0)</f>
        <v>0</v>
      </c>
      <c r="M38" s="3" t="str">
        <f>IF(AND(E38&gt;5000, L38&lt;&gt;"East"), "High-Value Merchant Day", "Normal Day")</f>
        <v>Normal Day</v>
      </c>
    </row>
    <row r="39" spans="1:13" x14ac:dyDescent="0.3">
      <c r="A39" t="s">
        <v>52</v>
      </c>
      <c r="B39">
        <v>147</v>
      </c>
      <c r="C39">
        <v>16</v>
      </c>
      <c r="D39" s="1">
        <v>46037.114583333336</v>
      </c>
      <c r="E39">
        <v>2999</v>
      </c>
      <c r="F39" t="s">
        <v>24</v>
      </c>
      <c r="G39" t="s">
        <v>10</v>
      </c>
      <c r="H39">
        <v>34</v>
      </c>
      <c r="I39" s="2">
        <f>VLOOKUP(B39,users!$A$1:$B$366,2,0)</f>
        <v>45921</v>
      </c>
      <c r="J39" s="3" t="str">
        <f>IFERROR(VLOOKUP(C39, merchants!$A$1:$D$41, 3, FALSE), "Data Missing")</f>
        <v>bill_payment</v>
      </c>
      <c r="K39" s="3" t="str">
        <f>IFERROR(VLOOKUP(C39, merchants!$A$1:$D$41, 4, FALSE), "Data Missing")</f>
        <v>West</v>
      </c>
      <c r="L39" s="7">
        <f>HLOOKUP(F39,payment_method!$A$1:$E$2,2,0)</f>
        <v>0.02</v>
      </c>
      <c r="M39" s="3" t="str">
        <f>IF(AND(E39&gt;5000, L39&lt;&gt;"East"), "High-Value Merchant Day", "Normal Day")</f>
        <v>Normal Day</v>
      </c>
    </row>
    <row r="40" spans="1:13" x14ac:dyDescent="0.3">
      <c r="A40" t="s">
        <v>53</v>
      </c>
      <c r="B40">
        <v>277</v>
      </c>
      <c r="C40">
        <v>6</v>
      </c>
      <c r="D40" s="1">
        <v>46033.456250000003</v>
      </c>
      <c r="E40">
        <v>1499</v>
      </c>
      <c r="F40" t="s">
        <v>24</v>
      </c>
      <c r="G40" t="s">
        <v>10</v>
      </c>
      <c r="H40">
        <v>17</v>
      </c>
      <c r="I40" s="2">
        <f>VLOOKUP(B40,users!$A$1:$B$366,2,0)</f>
        <v>45891</v>
      </c>
      <c r="J40" s="3" t="str">
        <f>IFERROR(VLOOKUP(C40, merchants!$A$1:$D$41, 3, FALSE), "Data Missing")</f>
        <v>food_delivery</v>
      </c>
      <c r="K40" s="3" t="str">
        <f>IFERROR(VLOOKUP(C40, merchants!$A$1:$D$41, 4, FALSE), "Data Missing")</f>
        <v>South</v>
      </c>
      <c r="L40" s="7">
        <f>HLOOKUP(F40,payment_method!$A$1:$E$2,2,0)</f>
        <v>0.02</v>
      </c>
      <c r="M40" s="3" t="str">
        <f>IF(AND(E40&gt;5000, L40&lt;&gt;"East"), "High-Value Merchant Day", "Normal Day")</f>
        <v>Normal Day</v>
      </c>
    </row>
    <row r="41" spans="1:13" x14ac:dyDescent="0.3">
      <c r="A41" t="s">
        <v>54</v>
      </c>
      <c r="B41">
        <v>79</v>
      </c>
      <c r="C41">
        <v>14</v>
      </c>
      <c r="D41" s="1">
        <v>46027.308333333334</v>
      </c>
      <c r="E41">
        <v>1499</v>
      </c>
      <c r="F41" t="s">
        <v>12</v>
      </c>
      <c r="G41" t="s">
        <v>10</v>
      </c>
      <c r="H41">
        <v>8</v>
      </c>
      <c r="I41" s="2">
        <f>VLOOKUP(B41,users!$A$1:$B$366,2,0)</f>
        <v>45353</v>
      </c>
      <c r="J41" s="3" t="str">
        <f>IFERROR(VLOOKUP(C41, merchants!$A$1:$D$41, 3, FALSE), "Data Missing")</f>
        <v>grocery</v>
      </c>
      <c r="K41" s="3" t="str">
        <f>IFERROR(VLOOKUP(C41, merchants!$A$1:$D$41, 4, FALSE), "Data Missing")</f>
        <v>East</v>
      </c>
      <c r="L41" s="7">
        <f>HLOOKUP(F41,payment_method!$A$1:$E$2,2,0)</f>
        <v>0</v>
      </c>
      <c r="M41" s="3" t="str">
        <f>IF(AND(E41&gt;5000, L41&lt;&gt;"East"), "High-Value Merchant Day", "Normal Day")</f>
        <v>Normal Day</v>
      </c>
    </row>
    <row r="42" spans="1:13" x14ac:dyDescent="0.3">
      <c r="A42" t="s">
        <v>55</v>
      </c>
      <c r="B42">
        <v>278</v>
      </c>
      <c r="C42">
        <v>30</v>
      </c>
      <c r="D42" s="1">
        <v>46036.556250000001</v>
      </c>
      <c r="E42">
        <v>1499</v>
      </c>
      <c r="F42" t="s">
        <v>12</v>
      </c>
      <c r="G42" t="s">
        <v>10</v>
      </c>
      <c r="H42">
        <v>53</v>
      </c>
      <c r="I42" s="2">
        <f>VLOOKUP(B42,users!$A$1:$B$366,2,0)</f>
        <v>45918</v>
      </c>
      <c r="J42" s="3" t="str">
        <f>IFERROR(VLOOKUP(C42, merchants!$A$1:$D$41, 3, FALSE), "Data Missing")</f>
        <v>travel</v>
      </c>
      <c r="K42" s="3" t="str">
        <f>IFERROR(VLOOKUP(C42, merchants!$A$1:$D$41, 4, FALSE), "Data Missing")</f>
        <v>West</v>
      </c>
      <c r="L42" s="7">
        <f>HLOOKUP(F42,payment_method!$A$1:$E$2,2,0)</f>
        <v>0</v>
      </c>
      <c r="M42" s="3" t="str">
        <f>IF(AND(E42&gt;5000, L42&lt;&gt;"East"), "High-Value Merchant Day", "Normal Day")</f>
        <v>Normal Day</v>
      </c>
    </row>
    <row r="43" spans="1:13" x14ac:dyDescent="0.3">
      <c r="A43" t="s">
        <v>56</v>
      </c>
      <c r="B43">
        <v>216</v>
      </c>
      <c r="C43">
        <v>25</v>
      </c>
      <c r="D43" s="1">
        <v>46024.286805555559</v>
      </c>
      <c r="E43">
        <v>99</v>
      </c>
      <c r="F43" t="s">
        <v>12</v>
      </c>
      <c r="G43" t="s">
        <v>10</v>
      </c>
      <c r="H43">
        <v>98</v>
      </c>
      <c r="I43" s="2">
        <f>VLOOKUP(B43,users!$A$1:$B$366,2,0)</f>
        <v>45424</v>
      </c>
      <c r="J43" s="3" t="str">
        <f>IFERROR(VLOOKUP(C43, merchants!$A$1:$D$41, 3, FALSE), "Data Missing")</f>
        <v>travel</v>
      </c>
      <c r="K43" s="3" t="str">
        <f>IFERROR(VLOOKUP(C43, merchants!$A$1:$D$41, 4, FALSE), "Data Missing")</f>
        <v>South</v>
      </c>
      <c r="L43" s="7">
        <f>HLOOKUP(F43,payment_method!$A$1:$E$2,2,0)</f>
        <v>0</v>
      </c>
      <c r="M43" s="3" t="str">
        <f>IF(AND(E43&gt;5000, L43&lt;&gt;"East"), "High-Value Merchant Day", "Normal Day")</f>
        <v>Normal Day</v>
      </c>
    </row>
    <row r="44" spans="1:13" x14ac:dyDescent="0.3">
      <c r="A44" t="s">
        <v>57</v>
      </c>
      <c r="B44">
        <v>295</v>
      </c>
      <c r="C44">
        <v>25</v>
      </c>
      <c r="D44" s="1">
        <v>46041.917361111111</v>
      </c>
      <c r="E44">
        <v>1499</v>
      </c>
      <c r="F44" t="s">
        <v>12</v>
      </c>
      <c r="G44" t="s">
        <v>10</v>
      </c>
      <c r="H44">
        <v>61</v>
      </c>
      <c r="I44" s="2">
        <f>VLOOKUP(B44,users!$A$1:$B$366,2,0)</f>
        <v>45452</v>
      </c>
      <c r="J44" s="3" t="str">
        <f>IFERROR(VLOOKUP(C44, merchants!$A$1:$D$41, 3, FALSE), "Data Missing")</f>
        <v>travel</v>
      </c>
      <c r="K44" s="3" t="str">
        <f>IFERROR(VLOOKUP(C44, merchants!$A$1:$D$41, 4, FALSE), "Data Missing")</f>
        <v>South</v>
      </c>
      <c r="L44" s="7">
        <f>HLOOKUP(F44,payment_method!$A$1:$E$2,2,0)</f>
        <v>0</v>
      </c>
      <c r="M44" s="3" t="str">
        <f>IF(AND(E44&gt;5000, L44&lt;&gt;"East"), "High-Value Merchant Day", "Normal Day")</f>
        <v>Normal Day</v>
      </c>
    </row>
    <row r="45" spans="1:13" x14ac:dyDescent="0.3">
      <c r="A45" t="s">
        <v>58</v>
      </c>
      <c r="B45">
        <v>200</v>
      </c>
      <c r="C45">
        <v>27</v>
      </c>
      <c r="D45" s="1">
        <v>46023.47152777778</v>
      </c>
      <c r="E45">
        <v>149</v>
      </c>
      <c r="F45" t="s">
        <v>12</v>
      </c>
      <c r="G45" t="s">
        <v>10</v>
      </c>
      <c r="H45">
        <v>68</v>
      </c>
      <c r="I45" s="2">
        <f>VLOOKUP(B45,users!$A$1:$B$366,2,0)</f>
        <v>45751</v>
      </c>
      <c r="J45" s="3" t="str">
        <f>IFERROR(VLOOKUP(C45, merchants!$A$1:$D$41, 3, FALSE), "Data Missing")</f>
        <v>ecommerce</v>
      </c>
      <c r="K45" s="3" t="str">
        <f>IFERROR(VLOOKUP(C45, merchants!$A$1:$D$41, 4, FALSE), "Data Missing")</f>
        <v>North</v>
      </c>
      <c r="L45" s="7">
        <f>HLOOKUP(F45,payment_method!$A$1:$E$2,2,0)</f>
        <v>0</v>
      </c>
      <c r="M45" s="3" t="str">
        <f>IF(AND(E45&gt;5000, L45&lt;&gt;"East"), "High-Value Merchant Day", "Normal Day")</f>
        <v>Normal Day</v>
      </c>
    </row>
    <row r="46" spans="1:13" x14ac:dyDescent="0.3">
      <c r="A46" t="s">
        <v>59</v>
      </c>
      <c r="B46">
        <v>309</v>
      </c>
      <c r="C46">
        <v>15</v>
      </c>
      <c r="D46" s="1">
        <v>46046.981944444444</v>
      </c>
      <c r="E46">
        <v>99</v>
      </c>
      <c r="F46" t="s">
        <v>15</v>
      </c>
      <c r="G46" t="s">
        <v>10</v>
      </c>
      <c r="H46">
        <v>62</v>
      </c>
      <c r="I46" s="2">
        <f>VLOOKUP(B46,users!$A$1:$B$366,2,0)</f>
        <v>45705</v>
      </c>
      <c r="J46" s="3" t="str">
        <f>IFERROR(VLOOKUP(C46, merchants!$A$1:$D$41, 3, FALSE), "Data Missing")</f>
        <v>travel</v>
      </c>
      <c r="K46" s="3" t="str">
        <f>IFERROR(VLOOKUP(C46, merchants!$A$1:$D$41, 4, FALSE), "Data Missing")</f>
        <v>North</v>
      </c>
      <c r="L46" s="7">
        <f>HLOOKUP(F46,payment_method!$A$1:$E$2,2,0)</f>
        <v>1.4999999999999999E-2</v>
      </c>
      <c r="M46" s="3" t="str">
        <f>IF(AND(E46&gt;5000, L46&lt;&gt;"East"), "High-Value Merchant Day", "Normal Day")</f>
        <v>Normal Day</v>
      </c>
    </row>
    <row r="47" spans="1:13" x14ac:dyDescent="0.3">
      <c r="A47" t="s">
        <v>60</v>
      </c>
      <c r="B47">
        <v>249</v>
      </c>
      <c r="C47">
        <v>2</v>
      </c>
      <c r="D47" s="1">
        <v>46030.352083333331</v>
      </c>
      <c r="E47">
        <v>299</v>
      </c>
      <c r="F47" t="s">
        <v>9</v>
      </c>
      <c r="G47" t="s">
        <v>10</v>
      </c>
      <c r="H47">
        <v>49</v>
      </c>
      <c r="I47" s="2">
        <f>VLOOKUP(B47,users!$A$1:$B$366,2,0)</f>
        <v>45385</v>
      </c>
      <c r="J47" s="3" t="str">
        <f>IFERROR(VLOOKUP(C47, merchants!$A$1:$D$41, 3, FALSE), "Data Missing")</f>
        <v>grocery</v>
      </c>
      <c r="K47" s="3" t="str">
        <f>IFERROR(VLOOKUP(C47, merchants!$A$1:$D$41, 4, FALSE), "Data Missing")</f>
        <v>West</v>
      </c>
      <c r="L47" s="7">
        <f>HLOOKUP(F47,payment_method!$A$1:$E$2,2,0)</f>
        <v>1.2E-2</v>
      </c>
      <c r="M47" s="3" t="str">
        <f>IF(AND(E47&gt;5000, L47&lt;&gt;"East"), "High-Value Merchant Day", "Normal Day")</f>
        <v>Normal Day</v>
      </c>
    </row>
    <row r="48" spans="1:13" x14ac:dyDescent="0.3">
      <c r="A48" t="s">
        <v>61</v>
      </c>
      <c r="B48">
        <v>208</v>
      </c>
      <c r="C48">
        <v>11</v>
      </c>
      <c r="D48" s="1">
        <v>46033.904861111114</v>
      </c>
      <c r="E48">
        <v>4999</v>
      </c>
      <c r="F48" t="s">
        <v>15</v>
      </c>
      <c r="G48" t="s">
        <v>10</v>
      </c>
      <c r="H48">
        <v>59</v>
      </c>
      <c r="I48" s="2">
        <f>VLOOKUP(B48,users!$A$1:$B$366,2,0)</f>
        <v>45825</v>
      </c>
      <c r="J48" s="3" t="str">
        <f>IFERROR(VLOOKUP(C48, merchants!$A$1:$D$41, 3, FALSE), "Data Missing")</f>
        <v>ecommerce</v>
      </c>
      <c r="K48" s="3" t="str">
        <f>IFERROR(VLOOKUP(C48, merchants!$A$1:$D$41, 4, FALSE), "Data Missing")</f>
        <v>North</v>
      </c>
      <c r="L48" s="7">
        <f>HLOOKUP(F48,payment_method!$A$1:$E$2,2,0)</f>
        <v>1.4999999999999999E-2</v>
      </c>
      <c r="M48" s="3" t="str">
        <f>IF(AND(E48&gt;5000, L48&lt;&gt;"East"), "High-Value Merchant Day", "Normal Day")</f>
        <v>Normal Day</v>
      </c>
    </row>
    <row r="49" spans="1:13" x14ac:dyDescent="0.3">
      <c r="A49" t="s">
        <v>62</v>
      </c>
      <c r="B49">
        <v>274</v>
      </c>
      <c r="C49">
        <v>2</v>
      </c>
      <c r="D49" s="1">
        <v>46052.193749999999</v>
      </c>
      <c r="E49">
        <v>299</v>
      </c>
      <c r="F49" t="s">
        <v>12</v>
      </c>
      <c r="G49" t="s">
        <v>10</v>
      </c>
      <c r="H49">
        <v>50</v>
      </c>
      <c r="I49" s="2">
        <f>VLOOKUP(B49,users!$A$1:$B$366,2,0)</f>
        <v>45524</v>
      </c>
      <c r="J49" s="3" t="str">
        <f>IFERROR(VLOOKUP(C49, merchants!$A$1:$D$41, 3, FALSE), "Data Missing")</f>
        <v>grocery</v>
      </c>
      <c r="K49" s="3" t="str">
        <f>IFERROR(VLOOKUP(C49, merchants!$A$1:$D$41, 4, FALSE), "Data Missing")</f>
        <v>West</v>
      </c>
      <c r="L49" s="7">
        <f>HLOOKUP(F49,payment_method!$A$1:$E$2,2,0)</f>
        <v>0</v>
      </c>
      <c r="M49" s="3" t="str">
        <f>IF(AND(E49&gt;5000, L49&lt;&gt;"East"), "High-Value Merchant Day", "Normal Day")</f>
        <v>Normal Day</v>
      </c>
    </row>
    <row r="50" spans="1:13" x14ac:dyDescent="0.3">
      <c r="A50" t="s">
        <v>63</v>
      </c>
      <c r="B50">
        <v>14</v>
      </c>
      <c r="C50">
        <v>6</v>
      </c>
      <c r="D50" s="1">
        <v>46041.779166666667</v>
      </c>
      <c r="E50">
        <v>49</v>
      </c>
      <c r="F50" t="s">
        <v>9</v>
      </c>
      <c r="G50" t="s">
        <v>10</v>
      </c>
      <c r="H50">
        <v>82</v>
      </c>
      <c r="I50" s="2">
        <f>VLOOKUP(B50,users!$A$1:$B$366,2,0)</f>
        <v>45670</v>
      </c>
      <c r="J50" s="3" t="str">
        <f>IFERROR(VLOOKUP(C50, merchants!$A$1:$D$41, 3, FALSE), "Data Missing")</f>
        <v>food_delivery</v>
      </c>
      <c r="K50" s="3" t="str">
        <f>IFERROR(VLOOKUP(C50, merchants!$A$1:$D$41, 4, FALSE), "Data Missing")</f>
        <v>South</v>
      </c>
      <c r="L50" s="7">
        <f>HLOOKUP(F50,payment_method!$A$1:$E$2,2,0)</f>
        <v>1.2E-2</v>
      </c>
      <c r="M50" s="3" t="str">
        <f>IF(AND(E50&gt;5000, L50&lt;&gt;"East"), "High-Value Merchant Day", "Normal Day")</f>
        <v>Normal Day</v>
      </c>
    </row>
    <row r="51" spans="1:13" x14ac:dyDescent="0.3">
      <c r="A51" t="s">
        <v>64</v>
      </c>
      <c r="B51">
        <v>237</v>
      </c>
      <c r="C51">
        <v>12</v>
      </c>
      <c r="D51" s="1">
        <v>46036.204861111109</v>
      </c>
      <c r="E51">
        <v>49</v>
      </c>
      <c r="F51" t="s">
        <v>12</v>
      </c>
      <c r="G51" t="s">
        <v>10</v>
      </c>
      <c r="H51">
        <v>6</v>
      </c>
      <c r="I51" s="2">
        <f>VLOOKUP(B51,users!$A$1:$B$366,2,0)</f>
        <v>45911</v>
      </c>
      <c r="J51" s="3" t="str">
        <f>IFERROR(VLOOKUP(C51, merchants!$A$1:$D$41, 3, FALSE), "Data Missing")</f>
        <v>ecommerce</v>
      </c>
      <c r="K51" s="3" t="str">
        <f>IFERROR(VLOOKUP(C51, merchants!$A$1:$D$41, 4, FALSE), "Data Missing")</f>
        <v>East</v>
      </c>
      <c r="L51" s="7">
        <f>HLOOKUP(F51,payment_method!$A$1:$E$2,2,0)</f>
        <v>0</v>
      </c>
      <c r="M51" s="3" t="str">
        <f>IF(AND(E51&gt;5000, L51&lt;&gt;"East"), "High-Value Merchant Day", "Normal Day")</f>
        <v>Normal Day</v>
      </c>
    </row>
    <row r="52" spans="1:13" x14ac:dyDescent="0.3">
      <c r="A52" t="s">
        <v>65</v>
      </c>
      <c r="B52">
        <v>109</v>
      </c>
      <c r="C52">
        <v>30</v>
      </c>
      <c r="D52" s="1">
        <v>46031.513888888891</v>
      </c>
      <c r="E52">
        <v>99</v>
      </c>
      <c r="F52" t="s">
        <v>12</v>
      </c>
      <c r="G52" t="s">
        <v>10</v>
      </c>
      <c r="H52">
        <v>41</v>
      </c>
      <c r="I52" s="2">
        <f>VLOOKUP(B52,users!$A$1:$B$366,2,0)</f>
        <v>45318</v>
      </c>
      <c r="J52" s="3" t="str">
        <f>IFERROR(VLOOKUP(C52, merchants!$A$1:$D$41, 3, FALSE), "Data Missing")</f>
        <v>travel</v>
      </c>
      <c r="K52" s="3" t="str">
        <f>IFERROR(VLOOKUP(C52, merchants!$A$1:$D$41, 4, FALSE), "Data Missing")</f>
        <v>West</v>
      </c>
      <c r="L52" s="7">
        <f>HLOOKUP(F52,payment_method!$A$1:$E$2,2,0)</f>
        <v>0</v>
      </c>
      <c r="M52" s="3" t="str">
        <f>IF(AND(E52&gt;5000, L52&lt;&gt;"East"), "High-Value Merchant Day", "Normal Day")</f>
        <v>Normal Day</v>
      </c>
    </row>
    <row r="53" spans="1:13" x14ac:dyDescent="0.3">
      <c r="A53" t="s">
        <v>66</v>
      </c>
      <c r="B53">
        <v>216</v>
      </c>
      <c r="C53">
        <v>17</v>
      </c>
      <c r="D53" s="1">
        <v>46033.511805555558</v>
      </c>
      <c r="E53">
        <v>4999</v>
      </c>
      <c r="F53" t="s">
        <v>12</v>
      </c>
      <c r="G53" t="s">
        <v>10</v>
      </c>
      <c r="H53">
        <v>10</v>
      </c>
      <c r="I53" s="2">
        <f>VLOOKUP(B53,users!$A$1:$B$366,2,0)</f>
        <v>45424</v>
      </c>
      <c r="J53" s="3" t="str">
        <f>IFERROR(VLOOKUP(C53, merchants!$A$1:$D$41, 3, FALSE), "Data Missing")</f>
        <v>grocery</v>
      </c>
      <c r="K53" s="3" t="str">
        <f>IFERROR(VLOOKUP(C53, merchants!$A$1:$D$41, 4, FALSE), "Data Missing")</f>
        <v>North</v>
      </c>
      <c r="L53" s="7">
        <f>HLOOKUP(F53,payment_method!$A$1:$E$2,2,0)</f>
        <v>0</v>
      </c>
      <c r="M53" s="3" t="str">
        <f>IF(AND(E53&gt;5000, L53&lt;&gt;"East"), "High-Value Merchant Day", "Normal Day")</f>
        <v>Normal Day</v>
      </c>
    </row>
    <row r="54" spans="1:13" x14ac:dyDescent="0.3">
      <c r="A54" t="s">
        <v>67</v>
      </c>
      <c r="B54">
        <v>277</v>
      </c>
      <c r="C54">
        <v>4</v>
      </c>
      <c r="D54" s="1">
        <v>46038.032638888886</v>
      </c>
      <c r="E54">
        <v>799</v>
      </c>
      <c r="F54" t="s">
        <v>12</v>
      </c>
      <c r="G54" t="s">
        <v>10</v>
      </c>
      <c r="H54">
        <v>44</v>
      </c>
      <c r="I54" s="2">
        <f>VLOOKUP(B54,users!$A$1:$B$366,2,0)</f>
        <v>45891</v>
      </c>
      <c r="J54" s="3" t="str">
        <f>IFERROR(VLOOKUP(C54, merchants!$A$1:$D$41, 3, FALSE), "Data Missing")</f>
        <v>ecommerce</v>
      </c>
      <c r="K54" s="3" t="str">
        <f>IFERROR(VLOOKUP(C54, merchants!$A$1:$D$41, 4, FALSE), "Data Missing")</f>
        <v>East</v>
      </c>
      <c r="L54" s="7">
        <f>HLOOKUP(F54,payment_method!$A$1:$E$2,2,0)</f>
        <v>0</v>
      </c>
      <c r="M54" s="3" t="str">
        <f>IF(AND(E54&gt;5000, L54&lt;&gt;"East"), "High-Value Merchant Day", "Normal Day")</f>
        <v>Normal Day</v>
      </c>
    </row>
    <row r="55" spans="1:13" x14ac:dyDescent="0.3">
      <c r="A55" t="s">
        <v>68</v>
      </c>
      <c r="B55">
        <v>334</v>
      </c>
      <c r="C55">
        <v>3</v>
      </c>
      <c r="D55" s="1">
        <v>46030.836111111108</v>
      </c>
      <c r="E55">
        <v>149</v>
      </c>
      <c r="F55" t="s">
        <v>9</v>
      </c>
      <c r="G55" t="s">
        <v>10</v>
      </c>
      <c r="H55">
        <v>96</v>
      </c>
      <c r="I55" s="2">
        <f>VLOOKUP(B55,users!$A$1:$B$366,2,0)</f>
        <v>45419</v>
      </c>
      <c r="J55" s="3" t="str">
        <f>IFERROR(VLOOKUP(C55, merchants!$A$1:$D$41, 3, FALSE), "Data Missing")</f>
        <v>grocery</v>
      </c>
      <c r="K55" s="3" t="str">
        <f>IFERROR(VLOOKUP(C55, merchants!$A$1:$D$41, 4, FALSE), "Data Missing")</f>
        <v>East</v>
      </c>
      <c r="L55" s="7">
        <f>HLOOKUP(F55,payment_method!$A$1:$E$2,2,0)</f>
        <v>1.2E-2</v>
      </c>
      <c r="M55" s="3" t="str">
        <f>IF(AND(E55&gt;5000, L55&lt;&gt;"East"), "High-Value Merchant Day", "Normal Day")</f>
        <v>Normal Day</v>
      </c>
    </row>
    <row r="56" spans="1:13" x14ac:dyDescent="0.3">
      <c r="A56" t="s">
        <v>69</v>
      </c>
      <c r="B56">
        <v>11</v>
      </c>
      <c r="C56">
        <v>40</v>
      </c>
      <c r="D56" s="1">
        <v>46023.3</v>
      </c>
      <c r="E56">
        <v>299</v>
      </c>
      <c r="F56" t="s">
        <v>12</v>
      </c>
      <c r="G56" t="s">
        <v>10</v>
      </c>
      <c r="H56">
        <v>19</v>
      </c>
      <c r="I56" s="2">
        <f>VLOOKUP(B56,users!$A$1:$B$366,2,0)</f>
        <v>45936</v>
      </c>
      <c r="J56" s="3" t="str">
        <f>IFERROR(VLOOKUP(C56, merchants!$A$1:$D$41, 3, FALSE), "Data Missing")</f>
        <v>entertainment</v>
      </c>
      <c r="K56" s="3" t="str">
        <f>IFERROR(VLOOKUP(C56, merchants!$A$1:$D$41, 4, FALSE), "Data Missing")</f>
        <v>South</v>
      </c>
      <c r="L56" s="7">
        <f>HLOOKUP(F56,payment_method!$A$1:$E$2,2,0)</f>
        <v>0</v>
      </c>
      <c r="M56" s="3" t="str">
        <f>IF(AND(E56&gt;5000, L56&lt;&gt;"East"), "High-Value Merchant Day", "Normal Day")</f>
        <v>Normal Day</v>
      </c>
    </row>
    <row r="57" spans="1:13" x14ac:dyDescent="0.3">
      <c r="A57" t="s">
        <v>70</v>
      </c>
      <c r="B57">
        <v>343</v>
      </c>
      <c r="C57">
        <v>8</v>
      </c>
      <c r="D57" s="1">
        <v>46030.1875</v>
      </c>
      <c r="E57">
        <v>99</v>
      </c>
      <c r="F57" t="s">
        <v>12</v>
      </c>
      <c r="G57" t="s">
        <v>10</v>
      </c>
      <c r="H57">
        <v>72</v>
      </c>
      <c r="I57" s="2">
        <f>VLOOKUP(B57,users!$A$1:$B$366,2,0)</f>
        <v>45428</v>
      </c>
      <c r="J57" s="3" t="str">
        <f>IFERROR(VLOOKUP(C57, merchants!$A$1:$D$41, 3, FALSE), "Data Missing")</f>
        <v>food_delivery</v>
      </c>
      <c r="K57" s="3" t="str">
        <f>IFERROR(VLOOKUP(C57, merchants!$A$1:$D$41, 4, FALSE), "Data Missing")</f>
        <v>North</v>
      </c>
      <c r="L57" s="7">
        <f>HLOOKUP(F57,payment_method!$A$1:$E$2,2,0)</f>
        <v>0</v>
      </c>
      <c r="M57" s="3" t="str">
        <f>IF(AND(E57&gt;5000, L57&lt;&gt;"East"), "High-Value Merchant Day", "Normal Day")</f>
        <v>Normal Day</v>
      </c>
    </row>
    <row r="58" spans="1:13" x14ac:dyDescent="0.3">
      <c r="A58" t="s">
        <v>71</v>
      </c>
      <c r="B58">
        <v>132</v>
      </c>
      <c r="C58">
        <v>24</v>
      </c>
      <c r="D58" s="1">
        <v>46029.613888888889</v>
      </c>
      <c r="E58">
        <v>299</v>
      </c>
      <c r="F58" t="s">
        <v>9</v>
      </c>
      <c r="G58" t="s">
        <v>10</v>
      </c>
      <c r="H58">
        <v>21</v>
      </c>
      <c r="I58" s="2">
        <f>VLOOKUP(B58,users!$A$1:$B$366,2,0)</f>
        <v>45647</v>
      </c>
      <c r="J58" s="3" t="str">
        <f>IFERROR(VLOOKUP(C58, merchants!$A$1:$D$41, 3, FALSE), "Data Missing")</f>
        <v>grocery</v>
      </c>
      <c r="K58" s="3" t="str">
        <f>IFERROR(VLOOKUP(C58, merchants!$A$1:$D$41, 4, FALSE), "Data Missing")</f>
        <v>North</v>
      </c>
      <c r="L58" s="7">
        <f>HLOOKUP(F58,payment_method!$A$1:$E$2,2,0)</f>
        <v>1.2E-2</v>
      </c>
      <c r="M58" s="3" t="str">
        <f>IF(AND(E58&gt;5000, L58&lt;&gt;"East"), "High-Value Merchant Day", "Normal Day")</f>
        <v>Normal Day</v>
      </c>
    </row>
    <row r="59" spans="1:13" x14ac:dyDescent="0.3">
      <c r="A59" t="s">
        <v>72</v>
      </c>
      <c r="B59">
        <v>59</v>
      </c>
      <c r="C59">
        <v>11</v>
      </c>
      <c r="D59" s="1">
        <v>46042.824305555558</v>
      </c>
      <c r="E59">
        <v>299</v>
      </c>
      <c r="F59" t="s">
        <v>12</v>
      </c>
      <c r="G59" t="s">
        <v>10</v>
      </c>
      <c r="H59">
        <v>39</v>
      </c>
      <c r="I59" s="2">
        <f>VLOOKUP(B59,users!$A$1:$B$366,2,0)</f>
        <v>45427</v>
      </c>
      <c r="J59" s="3" t="str">
        <f>IFERROR(VLOOKUP(C59, merchants!$A$1:$D$41, 3, FALSE), "Data Missing")</f>
        <v>ecommerce</v>
      </c>
      <c r="K59" s="3" t="str">
        <f>IFERROR(VLOOKUP(C59, merchants!$A$1:$D$41, 4, FALSE), "Data Missing")</f>
        <v>North</v>
      </c>
      <c r="L59" s="7">
        <f>HLOOKUP(F59,payment_method!$A$1:$E$2,2,0)</f>
        <v>0</v>
      </c>
      <c r="M59" s="3" t="str">
        <f>IF(AND(E59&gt;5000, L59&lt;&gt;"East"), "High-Value Merchant Day", "Normal Day")</f>
        <v>Normal Day</v>
      </c>
    </row>
    <row r="60" spans="1:13" x14ac:dyDescent="0.3">
      <c r="A60" t="s">
        <v>73</v>
      </c>
      <c r="B60">
        <v>160</v>
      </c>
      <c r="C60">
        <v>37</v>
      </c>
      <c r="D60" s="1">
        <v>46026.750694444447</v>
      </c>
      <c r="E60">
        <v>49</v>
      </c>
      <c r="F60" t="s">
        <v>9</v>
      </c>
      <c r="G60" t="s">
        <v>10</v>
      </c>
      <c r="H60">
        <v>86</v>
      </c>
      <c r="I60" s="2">
        <f>VLOOKUP(B60,users!$A$1:$B$366,2,0)</f>
        <v>45509</v>
      </c>
      <c r="J60" s="3" t="str">
        <f>IFERROR(VLOOKUP(C60, merchants!$A$1:$D$41, 3, FALSE), "Data Missing")</f>
        <v>entertainment</v>
      </c>
      <c r="K60" s="3" t="str">
        <f>IFERROR(VLOOKUP(C60, merchants!$A$1:$D$41, 4, FALSE), "Data Missing")</f>
        <v>South</v>
      </c>
      <c r="L60" s="7">
        <f>HLOOKUP(F60,payment_method!$A$1:$E$2,2,0)</f>
        <v>1.2E-2</v>
      </c>
      <c r="M60" s="3" t="str">
        <f>IF(AND(E60&gt;5000, L60&lt;&gt;"East"), "High-Value Merchant Day", "Normal Day")</f>
        <v>Normal Day</v>
      </c>
    </row>
    <row r="61" spans="1:13" x14ac:dyDescent="0.3">
      <c r="A61" t="s">
        <v>74</v>
      </c>
      <c r="B61">
        <v>102</v>
      </c>
      <c r="C61">
        <v>5</v>
      </c>
      <c r="D61" s="1">
        <v>46052.517361111109</v>
      </c>
      <c r="E61">
        <v>2999</v>
      </c>
      <c r="F61" t="s">
        <v>12</v>
      </c>
      <c r="G61" t="s">
        <v>10</v>
      </c>
      <c r="H61">
        <v>75</v>
      </c>
      <c r="I61" s="2">
        <f>VLOOKUP(B61,users!$A$1:$B$366,2,0)</f>
        <v>45913</v>
      </c>
      <c r="J61" s="3" t="str">
        <f>IFERROR(VLOOKUP(C61, merchants!$A$1:$D$41, 3, FALSE), "Data Missing")</f>
        <v>recharge</v>
      </c>
      <c r="K61" s="3" t="str">
        <f>IFERROR(VLOOKUP(C61, merchants!$A$1:$D$41, 4, FALSE), "Data Missing")</f>
        <v>South</v>
      </c>
      <c r="L61" s="7">
        <f>HLOOKUP(F61,payment_method!$A$1:$E$2,2,0)</f>
        <v>0</v>
      </c>
      <c r="M61" s="3" t="str">
        <f>IF(AND(E61&gt;5000, L61&lt;&gt;"East"), "High-Value Merchant Day", "Normal Day")</f>
        <v>Normal Day</v>
      </c>
    </row>
    <row r="62" spans="1:13" x14ac:dyDescent="0.3">
      <c r="A62" t="s">
        <v>75</v>
      </c>
      <c r="B62">
        <v>53</v>
      </c>
      <c r="C62">
        <v>20</v>
      </c>
      <c r="D62" s="1">
        <v>46045.84375</v>
      </c>
      <c r="E62">
        <v>49</v>
      </c>
      <c r="F62" t="s">
        <v>15</v>
      </c>
      <c r="G62" t="s">
        <v>10</v>
      </c>
      <c r="H62">
        <v>87</v>
      </c>
      <c r="I62" s="2">
        <f>VLOOKUP(B62,users!$A$1:$B$366,2,0)</f>
        <v>45599</v>
      </c>
      <c r="J62" s="3" t="str">
        <f>IFERROR(VLOOKUP(C62, merchants!$A$1:$D$41, 3, FALSE), "Data Missing")</f>
        <v>food_delivery</v>
      </c>
      <c r="K62" s="3" t="str">
        <f>IFERROR(VLOOKUP(C62, merchants!$A$1:$D$41, 4, FALSE), "Data Missing")</f>
        <v>East</v>
      </c>
      <c r="L62" s="7">
        <f>HLOOKUP(F62,payment_method!$A$1:$E$2,2,0)</f>
        <v>1.4999999999999999E-2</v>
      </c>
      <c r="M62" s="3" t="str">
        <f>IF(AND(E62&gt;5000, L62&lt;&gt;"East"), "High-Value Merchant Day", "Normal Day")</f>
        <v>Normal Day</v>
      </c>
    </row>
    <row r="63" spans="1:13" x14ac:dyDescent="0.3">
      <c r="A63" t="s">
        <v>76</v>
      </c>
      <c r="B63">
        <v>290</v>
      </c>
      <c r="C63">
        <v>3</v>
      </c>
      <c r="D63" s="1">
        <v>46042.159722222219</v>
      </c>
      <c r="E63">
        <v>99</v>
      </c>
      <c r="F63" t="s">
        <v>9</v>
      </c>
      <c r="G63" t="s">
        <v>10</v>
      </c>
      <c r="H63">
        <v>44</v>
      </c>
      <c r="I63" s="2">
        <f>VLOOKUP(B63,users!$A$1:$B$366,2,0)</f>
        <v>45545</v>
      </c>
      <c r="J63" s="3" t="str">
        <f>IFERROR(VLOOKUP(C63, merchants!$A$1:$D$41, 3, FALSE), "Data Missing")</f>
        <v>grocery</v>
      </c>
      <c r="K63" s="3" t="str">
        <f>IFERROR(VLOOKUP(C63, merchants!$A$1:$D$41, 4, FALSE), "Data Missing")</f>
        <v>East</v>
      </c>
      <c r="L63" s="7">
        <f>HLOOKUP(F63,payment_method!$A$1:$E$2,2,0)</f>
        <v>1.2E-2</v>
      </c>
      <c r="M63" s="3" t="str">
        <f>IF(AND(E63&gt;5000, L63&lt;&gt;"East"), "High-Value Merchant Day", "Normal Day")</f>
        <v>Normal Day</v>
      </c>
    </row>
    <row r="64" spans="1:13" x14ac:dyDescent="0.3">
      <c r="A64" t="s">
        <v>77</v>
      </c>
      <c r="B64">
        <v>190</v>
      </c>
      <c r="C64">
        <v>5</v>
      </c>
      <c r="D64" s="1">
        <v>46040.570833333331</v>
      </c>
      <c r="E64">
        <v>299</v>
      </c>
      <c r="F64" t="s">
        <v>12</v>
      </c>
      <c r="G64" t="s">
        <v>10</v>
      </c>
      <c r="H64">
        <v>64</v>
      </c>
      <c r="I64" s="2">
        <f>VLOOKUP(B64,users!$A$1:$B$366,2,0)</f>
        <v>45738</v>
      </c>
      <c r="J64" s="3" t="str">
        <f>IFERROR(VLOOKUP(C64, merchants!$A$1:$D$41, 3, FALSE), "Data Missing")</f>
        <v>recharge</v>
      </c>
      <c r="K64" s="3" t="str">
        <f>IFERROR(VLOOKUP(C64, merchants!$A$1:$D$41, 4, FALSE), "Data Missing")</f>
        <v>South</v>
      </c>
      <c r="L64" s="7">
        <f>HLOOKUP(F64,payment_method!$A$1:$E$2,2,0)</f>
        <v>0</v>
      </c>
      <c r="M64" s="3" t="str">
        <f>IF(AND(E64&gt;5000, L64&lt;&gt;"East"), "High-Value Merchant Day", "Normal Day")</f>
        <v>Normal Day</v>
      </c>
    </row>
    <row r="65" spans="1:13" x14ac:dyDescent="0.3">
      <c r="A65" t="s">
        <v>78</v>
      </c>
      <c r="B65">
        <v>216</v>
      </c>
      <c r="C65">
        <v>32</v>
      </c>
      <c r="D65" s="1">
        <v>46043.416666666664</v>
      </c>
      <c r="E65">
        <v>49</v>
      </c>
      <c r="F65" t="s">
        <v>24</v>
      </c>
      <c r="G65" t="s">
        <v>10</v>
      </c>
      <c r="H65">
        <v>13</v>
      </c>
      <c r="I65" s="2">
        <f>VLOOKUP(B65,users!$A$1:$B$366,2,0)</f>
        <v>45424</v>
      </c>
      <c r="J65" s="3" t="str">
        <f>IFERROR(VLOOKUP(C65, merchants!$A$1:$D$41, 3, FALSE), "Data Missing")</f>
        <v>food_delivery</v>
      </c>
      <c r="K65" s="3" t="str">
        <f>IFERROR(VLOOKUP(C65, merchants!$A$1:$D$41, 4, FALSE), "Data Missing")</f>
        <v>West</v>
      </c>
      <c r="L65" s="7">
        <f>HLOOKUP(F65,payment_method!$A$1:$E$2,2,0)</f>
        <v>0.02</v>
      </c>
      <c r="M65" s="3" t="str">
        <f>IF(AND(E65&gt;5000, L65&lt;&gt;"East"), "High-Value Merchant Day", "Normal Day")</f>
        <v>Normal Day</v>
      </c>
    </row>
    <row r="66" spans="1:13" x14ac:dyDescent="0.3">
      <c r="A66" t="s">
        <v>79</v>
      </c>
      <c r="B66">
        <v>236</v>
      </c>
      <c r="C66">
        <v>10</v>
      </c>
      <c r="D66" s="1">
        <v>46036.486111111109</v>
      </c>
      <c r="E66">
        <v>499</v>
      </c>
      <c r="F66" t="s">
        <v>12</v>
      </c>
      <c r="G66" t="s">
        <v>10</v>
      </c>
      <c r="H66">
        <v>55</v>
      </c>
      <c r="I66" s="2">
        <f>VLOOKUP(B66,users!$A$1:$B$366,2,0)</f>
        <v>45473</v>
      </c>
      <c r="J66" s="3" t="str">
        <f>IFERROR(VLOOKUP(C66, merchants!$A$1:$D$41, 3, FALSE), "Data Missing")</f>
        <v>grocery</v>
      </c>
      <c r="K66" s="3" t="str">
        <f>IFERROR(VLOOKUP(C66, merchants!$A$1:$D$41, 4, FALSE), "Data Missing")</f>
        <v>West</v>
      </c>
      <c r="L66" s="7">
        <f>HLOOKUP(F66,payment_method!$A$1:$E$2,2,0)</f>
        <v>0</v>
      </c>
      <c r="M66" s="3" t="str">
        <f>IF(AND(E66&gt;5000, L66&lt;&gt;"East"), "High-Value Merchant Day", "Normal Day")</f>
        <v>Normal Day</v>
      </c>
    </row>
    <row r="67" spans="1:13" x14ac:dyDescent="0.3">
      <c r="A67" t="s">
        <v>80</v>
      </c>
      <c r="B67">
        <v>334</v>
      </c>
      <c r="C67">
        <v>18</v>
      </c>
      <c r="D67" s="1">
        <v>46028.981249999997</v>
      </c>
      <c r="E67">
        <v>499</v>
      </c>
      <c r="F67" t="s">
        <v>24</v>
      </c>
      <c r="G67" t="s">
        <v>10</v>
      </c>
      <c r="H67">
        <v>78</v>
      </c>
      <c r="I67" s="2">
        <f>VLOOKUP(B67,users!$A$1:$B$366,2,0)</f>
        <v>45419</v>
      </c>
      <c r="J67" s="3" t="str">
        <f>IFERROR(VLOOKUP(C67, merchants!$A$1:$D$41, 3, FALSE), "Data Missing")</f>
        <v>grocery</v>
      </c>
      <c r="K67" s="3" t="str">
        <f>IFERROR(VLOOKUP(C67, merchants!$A$1:$D$41, 4, FALSE), "Data Missing")</f>
        <v>West</v>
      </c>
      <c r="L67" s="7">
        <f>HLOOKUP(F67,payment_method!$A$1:$E$2,2,0)</f>
        <v>0.02</v>
      </c>
      <c r="M67" s="3" t="str">
        <f>IF(AND(E67&gt;5000, L67&lt;&gt;"East"), "High-Value Merchant Day", "Normal Day")</f>
        <v>Normal Day</v>
      </c>
    </row>
    <row r="68" spans="1:13" x14ac:dyDescent="0.3">
      <c r="A68" t="s">
        <v>81</v>
      </c>
      <c r="B68">
        <v>248</v>
      </c>
      <c r="C68">
        <v>30</v>
      </c>
      <c r="D68" s="1">
        <v>46048.742361111108</v>
      </c>
      <c r="E68">
        <v>799</v>
      </c>
      <c r="F68" t="s">
        <v>9</v>
      </c>
      <c r="G68" t="s">
        <v>10</v>
      </c>
      <c r="H68">
        <v>55</v>
      </c>
      <c r="I68" s="2">
        <f>VLOOKUP(B68,users!$A$1:$B$366,2,0)</f>
        <v>45401</v>
      </c>
      <c r="J68" s="3" t="str">
        <f>IFERROR(VLOOKUP(C68, merchants!$A$1:$D$41, 3, FALSE), "Data Missing")</f>
        <v>travel</v>
      </c>
      <c r="K68" s="3" t="str">
        <f>IFERROR(VLOOKUP(C68, merchants!$A$1:$D$41, 4, FALSE), "Data Missing")</f>
        <v>West</v>
      </c>
      <c r="L68" s="7">
        <f>HLOOKUP(F68,payment_method!$A$1:$E$2,2,0)</f>
        <v>1.2E-2</v>
      </c>
      <c r="M68" s="3" t="str">
        <f>IF(AND(E68&gt;5000, L68&lt;&gt;"East"), "High-Value Merchant Day", "Normal Day")</f>
        <v>Normal Day</v>
      </c>
    </row>
    <row r="69" spans="1:13" x14ac:dyDescent="0.3">
      <c r="A69" t="s">
        <v>82</v>
      </c>
      <c r="B69">
        <v>138</v>
      </c>
      <c r="C69">
        <v>21</v>
      </c>
      <c r="D69" s="1">
        <v>46049.984027777777</v>
      </c>
      <c r="E69">
        <v>49</v>
      </c>
      <c r="F69" t="s">
        <v>24</v>
      </c>
      <c r="G69" t="s">
        <v>10</v>
      </c>
      <c r="H69">
        <v>31</v>
      </c>
      <c r="I69" s="2">
        <f>VLOOKUP(B69,users!$A$1:$B$366,2,0)</f>
        <v>45768</v>
      </c>
      <c r="J69" s="3" t="str">
        <f>IFERROR(VLOOKUP(C69, merchants!$A$1:$D$41, 3, FALSE), "Data Missing")</f>
        <v>food_delivery</v>
      </c>
      <c r="K69" s="3" t="str">
        <f>IFERROR(VLOOKUP(C69, merchants!$A$1:$D$41, 4, FALSE), "Data Missing")</f>
        <v>East</v>
      </c>
      <c r="L69" s="7">
        <f>HLOOKUP(F69,payment_method!$A$1:$E$2,2,0)</f>
        <v>0.02</v>
      </c>
      <c r="M69" s="3" t="str">
        <f>IF(AND(E69&gt;5000, L69&lt;&gt;"East"), "High-Value Merchant Day", "Normal Day")</f>
        <v>Normal Day</v>
      </c>
    </row>
    <row r="70" spans="1:13" x14ac:dyDescent="0.3">
      <c r="A70" t="s">
        <v>83</v>
      </c>
      <c r="B70">
        <v>231</v>
      </c>
      <c r="C70">
        <v>16</v>
      </c>
      <c r="D70" s="1">
        <v>46049.095138888886</v>
      </c>
      <c r="E70">
        <v>49</v>
      </c>
      <c r="F70" t="s">
        <v>12</v>
      </c>
      <c r="G70" t="s">
        <v>10</v>
      </c>
      <c r="H70">
        <v>96</v>
      </c>
      <c r="I70" s="2">
        <f>VLOOKUP(B70,users!$A$1:$B$366,2,0)</f>
        <v>45505</v>
      </c>
      <c r="J70" s="3" t="str">
        <f>IFERROR(VLOOKUP(C70, merchants!$A$1:$D$41, 3, FALSE), "Data Missing")</f>
        <v>bill_payment</v>
      </c>
      <c r="K70" s="3" t="str">
        <f>IFERROR(VLOOKUP(C70, merchants!$A$1:$D$41, 4, FALSE), "Data Missing")</f>
        <v>West</v>
      </c>
      <c r="L70" s="7">
        <f>HLOOKUP(F70,payment_method!$A$1:$E$2,2,0)</f>
        <v>0</v>
      </c>
      <c r="M70" s="3" t="str">
        <f>IF(AND(E70&gt;5000, L70&lt;&gt;"East"), "High-Value Merchant Day", "Normal Day")</f>
        <v>Normal Day</v>
      </c>
    </row>
    <row r="71" spans="1:13" x14ac:dyDescent="0.3">
      <c r="A71" t="s">
        <v>84</v>
      </c>
      <c r="B71">
        <v>343</v>
      </c>
      <c r="C71">
        <v>25</v>
      </c>
      <c r="D71" s="1">
        <v>46037.777083333334</v>
      </c>
      <c r="E71">
        <v>49</v>
      </c>
      <c r="F71" t="s">
        <v>12</v>
      </c>
      <c r="G71" t="s">
        <v>10</v>
      </c>
      <c r="H71">
        <v>43</v>
      </c>
      <c r="I71" s="2">
        <f>VLOOKUP(B71,users!$A$1:$B$366,2,0)</f>
        <v>45428</v>
      </c>
      <c r="J71" s="3" t="str">
        <f>IFERROR(VLOOKUP(C71, merchants!$A$1:$D$41, 3, FALSE), "Data Missing")</f>
        <v>travel</v>
      </c>
      <c r="K71" s="3" t="str">
        <f>IFERROR(VLOOKUP(C71, merchants!$A$1:$D$41, 4, FALSE), "Data Missing")</f>
        <v>South</v>
      </c>
      <c r="L71" s="7">
        <f>HLOOKUP(F71,payment_method!$A$1:$E$2,2,0)</f>
        <v>0</v>
      </c>
      <c r="M71" s="3" t="str">
        <f>IF(AND(E71&gt;5000, L71&lt;&gt;"East"), "High-Value Merchant Day", "Normal Day")</f>
        <v>Normal Day</v>
      </c>
    </row>
    <row r="72" spans="1:13" x14ac:dyDescent="0.3">
      <c r="A72" t="s">
        <v>85</v>
      </c>
      <c r="B72">
        <v>167</v>
      </c>
      <c r="C72">
        <v>12</v>
      </c>
      <c r="D72" s="1">
        <v>46023.662499999999</v>
      </c>
      <c r="E72">
        <v>499</v>
      </c>
      <c r="F72" t="s">
        <v>9</v>
      </c>
      <c r="G72" t="s">
        <v>10</v>
      </c>
      <c r="H72">
        <v>62</v>
      </c>
      <c r="I72" s="2">
        <f>VLOOKUP(B72,users!$A$1:$B$366,2,0)</f>
        <v>45631</v>
      </c>
      <c r="J72" s="3" t="str">
        <f>IFERROR(VLOOKUP(C72, merchants!$A$1:$D$41, 3, FALSE), "Data Missing")</f>
        <v>ecommerce</v>
      </c>
      <c r="K72" s="3" t="str">
        <f>IFERROR(VLOOKUP(C72, merchants!$A$1:$D$41, 4, FALSE), "Data Missing")</f>
        <v>East</v>
      </c>
      <c r="L72" s="7">
        <f>HLOOKUP(F72,payment_method!$A$1:$E$2,2,0)</f>
        <v>1.2E-2</v>
      </c>
      <c r="M72" s="3" t="str">
        <f>IF(AND(E72&gt;5000, L72&lt;&gt;"East"), "High-Value Merchant Day", "Normal Day")</f>
        <v>Normal Day</v>
      </c>
    </row>
    <row r="73" spans="1:13" x14ac:dyDescent="0.3">
      <c r="A73" t="s">
        <v>86</v>
      </c>
      <c r="B73">
        <v>133</v>
      </c>
      <c r="C73">
        <v>22</v>
      </c>
      <c r="D73" s="1">
        <v>46029.493750000001</v>
      </c>
      <c r="E73">
        <v>499</v>
      </c>
      <c r="F73" t="s">
        <v>12</v>
      </c>
      <c r="G73" t="s">
        <v>10</v>
      </c>
      <c r="H73">
        <v>35</v>
      </c>
      <c r="I73" s="2">
        <f>VLOOKUP(B73,users!$A$1:$B$366,2,0)</f>
        <v>45972</v>
      </c>
      <c r="J73" s="3" t="str">
        <f>IFERROR(VLOOKUP(C73, merchants!$A$1:$D$41, 3, FALSE), "Data Missing")</f>
        <v>travel</v>
      </c>
      <c r="K73" s="3" t="str">
        <f>IFERROR(VLOOKUP(C73, merchants!$A$1:$D$41, 4, FALSE), "Data Missing")</f>
        <v>South</v>
      </c>
      <c r="L73" s="7">
        <f>HLOOKUP(F73,payment_method!$A$1:$E$2,2,0)</f>
        <v>0</v>
      </c>
      <c r="M73" s="3" t="str">
        <f>IF(AND(E73&gt;5000, L73&lt;&gt;"East"), "High-Value Merchant Day", "Normal Day")</f>
        <v>Normal Day</v>
      </c>
    </row>
    <row r="74" spans="1:13" x14ac:dyDescent="0.3">
      <c r="A74" t="s">
        <v>87</v>
      </c>
      <c r="B74">
        <v>142</v>
      </c>
      <c r="C74">
        <v>36</v>
      </c>
      <c r="D74" s="1">
        <v>46051.822222222225</v>
      </c>
      <c r="E74">
        <v>799</v>
      </c>
      <c r="F74" t="s">
        <v>9</v>
      </c>
      <c r="G74" t="s">
        <v>10</v>
      </c>
      <c r="H74">
        <v>1</v>
      </c>
      <c r="I74" s="2">
        <f>VLOOKUP(B74,users!$A$1:$B$366,2,0)</f>
        <v>45933</v>
      </c>
      <c r="J74" s="3" t="str">
        <f>IFERROR(VLOOKUP(C74, merchants!$A$1:$D$41, 3, FALSE), "Data Missing")</f>
        <v>entertainment</v>
      </c>
      <c r="K74" s="3" t="str">
        <f>IFERROR(VLOOKUP(C74, merchants!$A$1:$D$41, 4, FALSE), "Data Missing")</f>
        <v>East</v>
      </c>
      <c r="L74" s="7">
        <f>HLOOKUP(F74,payment_method!$A$1:$E$2,2,0)</f>
        <v>1.2E-2</v>
      </c>
      <c r="M74" s="3" t="str">
        <f>IF(AND(E74&gt;5000, L74&lt;&gt;"East"), "High-Value Merchant Day", "Normal Day")</f>
        <v>Normal Day</v>
      </c>
    </row>
    <row r="75" spans="1:13" x14ac:dyDescent="0.3">
      <c r="A75" t="s">
        <v>88</v>
      </c>
      <c r="B75">
        <v>124</v>
      </c>
      <c r="C75">
        <v>27</v>
      </c>
      <c r="D75" s="1">
        <v>46039.253472222219</v>
      </c>
      <c r="E75">
        <v>499</v>
      </c>
      <c r="F75" t="s">
        <v>9</v>
      </c>
      <c r="G75" t="s">
        <v>10</v>
      </c>
      <c r="H75">
        <v>62</v>
      </c>
      <c r="I75" s="2">
        <f>VLOOKUP(B75,users!$A$1:$B$366,2,0)</f>
        <v>45611</v>
      </c>
      <c r="J75" s="3" t="str">
        <f>IFERROR(VLOOKUP(C75, merchants!$A$1:$D$41, 3, FALSE), "Data Missing")</f>
        <v>ecommerce</v>
      </c>
      <c r="K75" s="3" t="str">
        <f>IFERROR(VLOOKUP(C75, merchants!$A$1:$D$41, 4, FALSE), "Data Missing")</f>
        <v>North</v>
      </c>
      <c r="L75" s="7">
        <f>HLOOKUP(F75,payment_method!$A$1:$E$2,2,0)</f>
        <v>1.2E-2</v>
      </c>
      <c r="M75" s="3" t="str">
        <f>IF(AND(E75&gt;5000, L75&lt;&gt;"East"), "High-Value Merchant Day", "Normal Day")</f>
        <v>Normal Day</v>
      </c>
    </row>
    <row r="76" spans="1:13" x14ac:dyDescent="0.3">
      <c r="A76" t="s">
        <v>89</v>
      </c>
      <c r="B76">
        <v>244</v>
      </c>
      <c r="C76">
        <v>32</v>
      </c>
      <c r="D76" s="1">
        <v>46040.322222222225</v>
      </c>
      <c r="E76">
        <v>149</v>
      </c>
      <c r="F76" t="s">
        <v>12</v>
      </c>
      <c r="G76" t="s">
        <v>10</v>
      </c>
      <c r="H76">
        <v>57</v>
      </c>
      <c r="I76" s="2">
        <f>VLOOKUP(B76,users!$A$1:$B$366,2,0)</f>
        <v>45580</v>
      </c>
      <c r="J76" s="3" t="str">
        <f>IFERROR(VLOOKUP(C76, merchants!$A$1:$D$41, 3, FALSE), "Data Missing")</f>
        <v>food_delivery</v>
      </c>
      <c r="K76" s="3" t="str">
        <f>IFERROR(VLOOKUP(C76, merchants!$A$1:$D$41, 4, FALSE), "Data Missing")</f>
        <v>West</v>
      </c>
      <c r="L76" s="7">
        <f>HLOOKUP(F76,payment_method!$A$1:$E$2,2,0)</f>
        <v>0</v>
      </c>
      <c r="M76" s="3" t="str">
        <f>IF(AND(E76&gt;5000, L76&lt;&gt;"East"), "High-Value Merchant Day", "Normal Day")</f>
        <v>Normal Day</v>
      </c>
    </row>
    <row r="77" spans="1:13" x14ac:dyDescent="0.3">
      <c r="A77" t="s">
        <v>90</v>
      </c>
      <c r="B77">
        <v>151</v>
      </c>
      <c r="C77">
        <v>15</v>
      </c>
      <c r="D77" s="1">
        <v>46048.003472222219</v>
      </c>
      <c r="E77">
        <v>4999</v>
      </c>
      <c r="F77" t="s">
        <v>12</v>
      </c>
      <c r="G77" t="s">
        <v>10</v>
      </c>
      <c r="H77">
        <v>51</v>
      </c>
      <c r="I77" s="2">
        <f>VLOOKUP(B77,users!$A$1:$B$366,2,0)</f>
        <v>45308</v>
      </c>
      <c r="J77" s="3" t="str">
        <f>IFERROR(VLOOKUP(C77, merchants!$A$1:$D$41, 3, FALSE), "Data Missing")</f>
        <v>travel</v>
      </c>
      <c r="K77" s="3" t="str">
        <f>IFERROR(VLOOKUP(C77, merchants!$A$1:$D$41, 4, FALSE), "Data Missing")</f>
        <v>North</v>
      </c>
      <c r="L77" s="7">
        <f>HLOOKUP(F77,payment_method!$A$1:$E$2,2,0)</f>
        <v>0</v>
      </c>
      <c r="M77" s="3" t="str">
        <f>IF(AND(E77&gt;5000, L77&lt;&gt;"East"), "High-Value Merchant Day", "Normal Day")</f>
        <v>Normal Day</v>
      </c>
    </row>
    <row r="78" spans="1:13" x14ac:dyDescent="0.3">
      <c r="A78" t="s">
        <v>91</v>
      </c>
      <c r="B78">
        <v>340</v>
      </c>
      <c r="C78">
        <v>38</v>
      </c>
      <c r="D78" s="1">
        <v>46045.304861111108</v>
      </c>
      <c r="E78">
        <v>499</v>
      </c>
      <c r="F78" t="s">
        <v>24</v>
      </c>
      <c r="G78" t="s">
        <v>10</v>
      </c>
      <c r="H78">
        <v>47</v>
      </c>
      <c r="I78" s="2">
        <f>VLOOKUP(B78,users!$A$1:$B$366,2,0)</f>
        <v>45957</v>
      </c>
      <c r="J78" s="3" t="str">
        <f>IFERROR(VLOOKUP(C78, merchants!$A$1:$D$41, 3, FALSE), "Data Missing")</f>
        <v>grocery</v>
      </c>
      <c r="K78" s="3" t="str">
        <f>IFERROR(VLOOKUP(C78, merchants!$A$1:$D$41, 4, FALSE), "Data Missing")</f>
        <v>East</v>
      </c>
      <c r="L78" s="7">
        <f>HLOOKUP(F78,payment_method!$A$1:$E$2,2,0)</f>
        <v>0.02</v>
      </c>
      <c r="M78" s="3" t="str">
        <f>IF(AND(E78&gt;5000, L78&lt;&gt;"East"), "High-Value Merchant Day", "Normal Day")</f>
        <v>Normal Day</v>
      </c>
    </row>
    <row r="79" spans="1:13" x14ac:dyDescent="0.3">
      <c r="A79" t="s">
        <v>92</v>
      </c>
      <c r="B79">
        <v>177</v>
      </c>
      <c r="C79">
        <v>28</v>
      </c>
      <c r="D79" s="1">
        <v>46038.731249999997</v>
      </c>
      <c r="E79">
        <v>299</v>
      </c>
      <c r="F79" t="s">
        <v>12</v>
      </c>
      <c r="G79" t="s">
        <v>10</v>
      </c>
      <c r="H79">
        <v>95</v>
      </c>
      <c r="I79" s="2">
        <f>VLOOKUP(B79,users!$A$1:$B$366,2,0)</f>
        <v>45581</v>
      </c>
      <c r="J79" s="3" t="str">
        <f>IFERROR(VLOOKUP(C79, merchants!$A$1:$D$41, 3, FALSE), "Data Missing")</f>
        <v>ecommerce</v>
      </c>
      <c r="K79" s="3" t="str">
        <f>IFERROR(VLOOKUP(C79, merchants!$A$1:$D$41, 4, FALSE), "Data Missing")</f>
        <v>South</v>
      </c>
      <c r="L79" s="7">
        <f>HLOOKUP(F79,payment_method!$A$1:$E$2,2,0)</f>
        <v>0</v>
      </c>
      <c r="M79" s="3" t="str">
        <f>IF(AND(E79&gt;5000, L79&lt;&gt;"East"), "High-Value Merchant Day", "Normal Day")</f>
        <v>Normal Day</v>
      </c>
    </row>
    <row r="80" spans="1:13" x14ac:dyDescent="0.3">
      <c r="A80" t="s">
        <v>93</v>
      </c>
      <c r="B80">
        <v>233</v>
      </c>
      <c r="C80">
        <v>18</v>
      </c>
      <c r="D80" s="1">
        <v>46040.431944444441</v>
      </c>
      <c r="E80">
        <v>499</v>
      </c>
      <c r="F80" t="s">
        <v>12</v>
      </c>
      <c r="G80" t="s">
        <v>10</v>
      </c>
      <c r="H80">
        <v>39</v>
      </c>
      <c r="I80" s="2">
        <f>VLOOKUP(B80,users!$A$1:$B$366,2,0)</f>
        <v>45450</v>
      </c>
      <c r="J80" s="3" t="str">
        <f>IFERROR(VLOOKUP(C80, merchants!$A$1:$D$41, 3, FALSE), "Data Missing")</f>
        <v>grocery</v>
      </c>
      <c r="K80" s="3" t="str">
        <f>IFERROR(VLOOKUP(C80, merchants!$A$1:$D$41, 4, FALSE), "Data Missing")</f>
        <v>West</v>
      </c>
      <c r="L80" s="7">
        <f>HLOOKUP(F80,payment_method!$A$1:$E$2,2,0)</f>
        <v>0</v>
      </c>
      <c r="M80" s="3" t="str">
        <f>IF(AND(E80&gt;5000, L80&lt;&gt;"East"), "High-Value Merchant Day", "Normal Day")</f>
        <v>Normal Day</v>
      </c>
    </row>
    <row r="81" spans="1:13" x14ac:dyDescent="0.3">
      <c r="A81" t="s">
        <v>94</v>
      </c>
      <c r="B81">
        <v>99</v>
      </c>
      <c r="C81">
        <v>21</v>
      </c>
      <c r="D81" s="1">
        <v>46031.296527777777</v>
      </c>
      <c r="E81">
        <v>499</v>
      </c>
      <c r="F81" t="s">
        <v>12</v>
      </c>
      <c r="G81" t="s">
        <v>10</v>
      </c>
      <c r="H81">
        <v>15</v>
      </c>
      <c r="I81" s="2">
        <f>VLOOKUP(B81,users!$A$1:$B$366,2,0)</f>
        <v>45934</v>
      </c>
      <c r="J81" s="3" t="str">
        <f>IFERROR(VLOOKUP(C81, merchants!$A$1:$D$41, 3, FALSE), "Data Missing")</f>
        <v>food_delivery</v>
      </c>
      <c r="K81" s="3" t="str">
        <f>IFERROR(VLOOKUP(C81, merchants!$A$1:$D$41, 4, FALSE), "Data Missing")</f>
        <v>East</v>
      </c>
      <c r="L81" s="7">
        <f>HLOOKUP(F81,payment_method!$A$1:$E$2,2,0)</f>
        <v>0</v>
      </c>
      <c r="M81" s="3" t="str">
        <f>IF(AND(E81&gt;5000, L81&lt;&gt;"East"), "High-Value Merchant Day", "Normal Day")</f>
        <v>Normal Day</v>
      </c>
    </row>
    <row r="82" spans="1:13" x14ac:dyDescent="0.3">
      <c r="A82" t="s">
        <v>95</v>
      </c>
      <c r="B82">
        <v>95</v>
      </c>
      <c r="C82">
        <v>13</v>
      </c>
      <c r="D82" s="1">
        <v>46046.741666666669</v>
      </c>
      <c r="E82">
        <v>2999</v>
      </c>
      <c r="F82" t="s">
        <v>15</v>
      </c>
      <c r="G82" t="s">
        <v>25</v>
      </c>
      <c r="H82">
        <v>27</v>
      </c>
      <c r="I82" s="2">
        <f>VLOOKUP(B82,users!$A$1:$B$366,2,0)</f>
        <v>45879</v>
      </c>
      <c r="J82" s="3" t="str">
        <f>IFERROR(VLOOKUP(C82, merchants!$A$1:$D$41, 3, FALSE), "Data Missing")</f>
        <v>travel</v>
      </c>
      <c r="K82" s="3" t="str">
        <f>IFERROR(VLOOKUP(C82, merchants!$A$1:$D$41, 4, FALSE), "Data Missing")</f>
        <v>East</v>
      </c>
      <c r="L82" s="7">
        <f>HLOOKUP(F82,payment_method!$A$1:$E$2,2,0)</f>
        <v>1.4999999999999999E-2</v>
      </c>
      <c r="M82" s="3" t="str">
        <f>IF(AND(E82&gt;5000, L82&lt;&gt;"East"), "High-Value Merchant Day", "Normal Day")</f>
        <v>Normal Day</v>
      </c>
    </row>
    <row r="83" spans="1:13" x14ac:dyDescent="0.3">
      <c r="A83" t="s">
        <v>96</v>
      </c>
      <c r="B83">
        <v>302</v>
      </c>
      <c r="C83">
        <v>34</v>
      </c>
      <c r="D83" s="1">
        <v>46046.636805555558</v>
      </c>
      <c r="E83">
        <v>49</v>
      </c>
      <c r="F83" t="s">
        <v>15</v>
      </c>
      <c r="G83" t="s">
        <v>10</v>
      </c>
      <c r="H83">
        <v>76</v>
      </c>
      <c r="I83" s="2">
        <f>VLOOKUP(B83,users!$A$1:$B$366,2,0)</f>
        <v>45856</v>
      </c>
      <c r="J83" s="3" t="str">
        <f>IFERROR(VLOOKUP(C83, merchants!$A$1:$D$41, 3, FALSE), "Data Missing")</f>
        <v>travel</v>
      </c>
      <c r="K83" s="3" t="str">
        <f>IFERROR(VLOOKUP(C83, merchants!$A$1:$D$41, 4, FALSE), "Data Missing")</f>
        <v>South</v>
      </c>
      <c r="L83" s="7">
        <f>HLOOKUP(F83,payment_method!$A$1:$E$2,2,0)</f>
        <v>1.4999999999999999E-2</v>
      </c>
      <c r="M83" s="3" t="str">
        <f>IF(AND(E83&gt;5000, L83&lt;&gt;"East"), "High-Value Merchant Day", "Normal Day")</f>
        <v>Normal Day</v>
      </c>
    </row>
    <row r="84" spans="1:13" x14ac:dyDescent="0.3">
      <c r="A84" t="s">
        <v>97</v>
      </c>
      <c r="B84">
        <v>100</v>
      </c>
      <c r="C84">
        <v>19</v>
      </c>
      <c r="D84" s="1">
        <v>46032.161805555559</v>
      </c>
      <c r="E84">
        <v>2999</v>
      </c>
      <c r="F84" t="s">
        <v>15</v>
      </c>
      <c r="G84" t="s">
        <v>10</v>
      </c>
      <c r="H84">
        <v>29</v>
      </c>
      <c r="I84" s="2">
        <f>VLOOKUP(B84,users!$A$1:$B$366,2,0)</f>
        <v>45747</v>
      </c>
      <c r="J84" s="3" t="str">
        <f>IFERROR(VLOOKUP(C84, merchants!$A$1:$D$41, 3, FALSE), "Data Missing")</f>
        <v>grocery</v>
      </c>
      <c r="K84" s="3" t="str">
        <f>IFERROR(VLOOKUP(C84, merchants!$A$1:$D$41, 4, FALSE), "Data Missing")</f>
        <v>North</v>
      </c>
      <c r="L84" s="7">
        <f>HLOOKUP(F84,payment_method!$A$1:$E$2,2,0)</f>
        <v>1.4999999999999999E-2</v>
      </c>
      <c r="M84" s="3" t="str">
        <f>IF(AND(E84&gt;5000, L84&lt;&gt;"East"), "High-Value Merchant Day", "Normal Day")</f>
        <v>Normal Day</v>
      </c>
    </row>
    <row r="85" spans="1:13" x14ac:dyDescent="0.3">
      <c r="A85" t="s">
        <v>98</v>
      </c>
      <c r="B85">
        <v>8</v>
      </c>
      <c r="C85">
        <v>35</v>
      </c>
      <c r="D85" s="1">
        <v>46034.22152777778</v>
      </c>
      <c r="E85">
        <v>99</v>
      </c>
      <c r="F85" t="s">
        <v>12</v>
      </c>
      <c r="G85" t="s">
        <v>10</v>
      </c>
      <c r="H85">
        <v>16</v>
      </c>
      <c r="I85" s="2">
        <f>VLOOKUP(B85,users!$A$1:$B$366,2,0)</f>
        <v>45423</v>
      </c>
      <c r="J85" s="3" t="str">
        <f>IFERROR(VLOOKUP(C85, merchants!$A$1:$D$41, 3, FALSE), "Data Missing")</f>
        <v>recharge</v>
      </c>
      <c r="K85" s="3" t="str">
        <f>IFERROR(VLOOKUP(C85, merchants!$A$1:$D$41, 4, FALSE), "Data Missing")</f>
        <v>East</v>
      </c>
      <c r="L85" s="7">
        <f>HLOOKUP(F85,payment_method!$A$1:$E$2,2,0)</f>
        <v>0</v>
      </c>
      <c r="M85" s="3" t="str">
        <f>IF(AND(E85&gt;5000, L85&lt;&gt;"East"), "High-Value Merchant Day", "Normal Day")</f>
        <v>Normal Day</v>
      </c>
    </row>
    <row r="86" spans="1:13" x14ac:dyDescent="0.3">
      <c r="A86" t="s">
        <v>99</v>
      </c>
      <c r="B86">
        <v>284</v>
      </c>
      <c r="C86">
        <v>19</v>
      </c>
      <c r="D86" s="1">
        <v>46031.043749999997</v>
      </c>
      <c r="E86">
        <v>99</v>
      </c>
      <c r="F86" t="s">
        <v>12</v>
      </c>
      <c r="G86" t="s">
        <v>10</v>
      </c>
      <c r="H86">
        <v>89</v>
      </c>
      <c r="I86" s="2">
        <f>VLOOKUP(B86,users!$A$1:$B$366,2,0)</f>
        <v>45636</v>
      </c>
      <c r="J86" s="3" t="str">
        <f>IFERROR(VLOOKUP(C86, merchants!$A$1:$D$41, 3, FALSE), "Data Missing")</f>
        <v>grocery</v>
      </c>
      <c r="K86" s="3" t="str">
        <f>IFERROR(VLOOKUP(C86, merchants!$A$1:$D$41, 4, FALSE), "Data Missing")</f>
        <v>North</v>
      </c>
      <c r="L86" s="7">
        <f>HLOOKUP(F86,payment_method!$A$1:$E$2,2,0)</f>
        <v>0</v>
      </c>
      <c r="M86" s="3" t="str">
        <f>IF(AND(E86&gt;5000, L86&lt;&gt;"East"), "High-Value Merchant Day", "Normal Day")</f>
        <v>Normal Day</v>
      </c>
    </row>
    <row r="87" spans="1:13" x14ac:dyDescent="0.3">
      <c r="A87" t="s">
        <v>100</v>
      </c>
      <c r="B87">
        <v>252</v>
      </c>
      <c r="C87">
        <v>7</v>
      </c>
      <c r="D87" s="1">
        <v>46027.871527777781</v>
      </c>
      <c r="E87">
        <v>2999</v>
      </c>
      <c r="F87" t="s">
        <v>9</v>
      </c>
      <c r="G87" t="s">
        <v>10</v>
      </c>
      <c r="H87">
        <v>1</v>
      </c>
      <c r="I87" s="2">
        <f>VLOOKUP(B87,users!$A$1:$B$366,2,0)</f>
        <v>45910</v>
      </c>
      <c r="J87" s="3" t="str">
        <f>IFERROR(VLOOKUP(C87, merchants!$A$1:$D$41, 3, FALSE), "Data Missing")</f>
        <v>food_delivery</v>
      </c>
      <c r="K87" s="3" t="str">
        <f>IFERROR(VLOOKUP(C87, merchants!$A$1:$D$41, 4, FALSE), "Data Missing")</f>
        <v>East</v>
      </c>
      <c r="L87" s="7">
        <f>HLOOKUP(F87,payment_method!$A$1:$E$2,2,0)</f>
        <v>1.2E-2</v>
      </c>
      <c r="M87" s="3" t="str">
        <f>IF(AND(E87&gt;5000, L87&lt;&gt;"East"), "High-Value Merchant Day", "Normal Day")</f>
        <v>Normal Day</v>
      </c>
    </row>
    <row r="88" spans="1:13" x14ac:dyDescent="0.3">
      <c r="A88" t="s">
        <v>101</v>
      </c>
      <c r="B88">
        <v>246</v>
      </c>
      <c r="C88">
        <v>29</v>
      </c>
      <c r="D88" s="1">
        <v>46041.395833333336</v>
      </c>
      <c r="E88">
        <v>49</v>
      </c>
      <c r="F88" t="s">
        <v>9</v>
      </c>
      <c r="G88" t="s">
        <v>10</v>
      </c>
      <c r="H88">
        <v>43</v>
      </c>
      <c r="I88" s="2">
        <f>VLOOKUP(B88,users!$A$1:$B$366,2,0)</f>
        <v>45410</v>
      </c>
      <c r="J88" s="3" t="str">
        <f>IFERROR(VLOOKUP(C88, merchants!$A$1:$D$41, 3, FALSE), "Data Missing")</f>
        <v>ecommerce</v>
      </c>
      <c r="K88" s="3" t="str">
        <f>IFERROR(VLOOKUP(C88, merchants!$A$1:$D$41, 4, FALSE), "Data Missing")</f>
        <v>North</v>
      </c>
      <c r="L88" s="7">
        <f>HLOOKUP(F88,payment_method!$A$1:$E$2,2,0)</f>
        <v>1.2E-2</v>
      </c>
      <c r="M88" s="3" t="str">
        <f>IF(AND(E88&gt;5000, L88&lt;&gt;"East"), "High-Value Merchant Day", "Normal Day")</f>
        <v>Normal Day</v>
      </c>
    </row>
    <row r="89" spans="1:13" x14ac:dyDescent="0.3">
      <c r="A89" t="s">
        <v>102</v>
      </c>
      <c r="B89">
        <v>245</v>
      </c>
      <c r="C89">
        <v>8</v>
      </c>
      <c r="D89" s="1">
        <v>46028.052777777775</v>
      </c>
      <c r="E89">
        <v>49</v>
      </c>
      <c r="F89" t="s">
        <v>12</v>
      </c>
      <c r="G89" t="s">
        <v>38</v>
      </c>
      <c r="H89">
        <v>8</v>
      </c>
      <c r="I89" s="2">
        <f>VLOOKUP(B89,users!$A$1:$B$366,2,0)</f>
        <v>45871</v>
      </c>
      <c r="J89" s="3" t="str">
        <f>IFERROR(VLOOKUP(C89, merchants!$A$1:$D$41, 3, FALSE), "Data Missing")</f>
        <v>food_delivery</v>
      </c>
      <c r="K89" s="3" t="str">
        <f>IFERROR(VLOOKUP(C89, merchants!$A$1:$D$41, 4, FALSE), "Data Missing")</f>
        <v>North</v>
      </c>
      <c r="L89" s="7">
        <f>HLOOKUP(F89,payment_method!$A$1:$E$2,2,0)</f>
        <v>0</v>
      </c>
      <c r="M89" s="3" t="str">
        <f>IF(AND(E89&gt;5000, L89&lt;&gt;"East"), "High-Value Merchant Day", "Normal Day")</f>
        <v>Normal Day</v>
      </c>
    </row>
    <row r="90" spans="1:13" x14ac:dyDescent="0.3">
      <c r="A90" t="s">
        <v>103</v>
      </c>
      <c r="B90">
        <v>296</v>
      </c>
      <c r="C90">
        <v>4</v>
      </c>
      <c r="D90" s="1">
        <v>46035.62777777778</v>
      </c>
      <c r="E90">
        <v>799</v>
      </c>
      <c r="F90" t="s">
        <v>9</v>
      </c>
      <c r="G90" t="s">
        <v>10</v>
      </c>
      <c r="H90">
        <v>19</v>
      </c>
      <c r="I90" s="2">
        <f>VLOOKUP(B90,users!$A$1:$B$366,2,0)</f>
        <v>45985</v>
      </c>
      <c r="J90" s="3" t="str">
        <f>IFERROR(VLOOKUP(C90, merchants!$A$1:$D$41, 3, FALSE), "Data Missing")</f>
        <v>ecommerce</v>
      </c>
      <c r="K90" s="3" t="str">
        <f>IFERROR(VLOOKUP(C90, merchants!$A$1:$D$41, 4, FALSE), "Data Missing")</f>
        <v>East</v>
      </c>
      <c r="L90" s="7">
        <f>HLOOKUP(F90,payment_method!$A$1:$E$2,2,0)</f>
        <v>1.2E-2</v>
      </c>
      <c r="M90" s="3" t="str">
        <f>IF(AND(E90&gt;5000, L90&lt;&gt;"East"), "High-Value Merchant Day", "Normal Day")</f>
        <v>Normal Day</v>
      </c>
    </row>
    <row r="91" spans="1:13" x14ac:dyDescent="0.3">
      <c r="A91" t="s">
        <v>104</v>
      </c>
      <c r="B91">
        <v>44</v>
      </c>
      <c r="C91">
        <v>16</v>
      </c>
      <c r="D91" s="1">
        <v>46027.763194444444</v>
      </c>
      <c r="E91">
        <v>149</v>
      </c>
      <c r="F91" t="s">
        <v>12</v>
      </c>
      <c r="G91" t="s">
        <v>10</v>
      </c>
      <c r="H91">
        <v>15</v>
      </c>
      <c r="I91" s="2">
        <f>VLOOKUP(B91,users!$A$1:$B$366,2,0)</f>
        <v>45945</v>
      </c>
      <c r="J91" s="3" t="str">
        <f>IFERROR(VLOOKUP(C91, merchants!$A$1:$D$41, 3, FALSE), "Data Missing")</f>
        <v>bill_payment</v>
      </c>
      <c r="K91" s="3" t="str">
        <f>IFERROR(VLOOKUP(C91, merchants!$A$1:$D$41, 4, FALSE), "Data Missing")</f>
        <v>West</v>
      </c>
      <c r="L91" s="7">
        <f>HLOOKUP(F91,payment_method!$A$1:$E$2,2,0)</f>
        <v>0</v>
      </c>
      <c r="M91" s="3" t="str">
        <f>IF(AND(E91&gt;5000, L91&lt;&gt;"East"), "High-Value Merchant Day", "Normal Day")</f>
        <v>Normal Day</v>
      </c>
    </row>
    <row r="92" spans="1:13" x14ac:dyDescent="0.3">
      <c r="A92" t="s">
        <v>105</v>
      </c>
      <c r="B92">
        <v>306</v>
      </c>
      <c r="C92">
        <v>40</v>
      </c>
      <c r="D92" s="1">
        <v>46040.568055555559</v>
      </c>
      <c r="E92">
        <v>799</v>
      </c>
      <c r="F92" t="s">
        <v>24</v>
      </c>
      <c r="G92" t="s">
        <v>10</v>
      </c>
      <c r="H92">
        <v>28</v>
      </c>
      <c r="I92" s="2">
        <f>VLOOKUP(B92,users!$A$1:$B$366,2,0)</f>
        <v>45427</v>
      </c>
      <c r="J92" s="3" t="str">
        <f>IFERROR(VLOOKUP(C92, merchants!$A$1:$D$41, 3, FALSE), "Data Missing")</f>
        <v>entertainment</v>
      </c>
      <c r="K92" s="3" t="str">
        <f>IFERROR(VLOOKUP(C92, merchants!$A$1:$D$41, 4, FALSE), "Data Missing")</f>
        <v>South</v>
      </c>
      <c r="L92" s="7">
        <f>HLOOKUP(F92,payment_method!$A$1:$E$2,2,0)</f>
        <v>0.02</v>
      </c>
      <c r="M92" s="3" t="str">
        <f>IF(AND(E92&gt;5000, L92&lt;&gt;"East"), "High-Value Merchant Day", "Normal Day")</f>
        <v>Normal Day</v>
      </c>
    </row>
    <row r="93" spans="1:13" x14ac:dyDescent="0.3">
      <c r="A93" t="s">
        <v>106</v>
      </c>
      <c r="B93">
        <v>231</v>
      </c>
      <c r="C93">
        <v>29</v>
      </c>
      <c r="D93" s="1">
        <v>46047.683333333334</v>
      </c>
      <c r="E93">
        <v>299</v>
      </c>
      <c r="F93" t="s">
        <v>12</v>
      </c>
      <c r="G93" t="s">
        <v>10</v>
      </c>
      <c r="H93">
        <v>38</v>
      </c>
      <c r="I93" s="2">
        <f>VLOOKUP(B93,users!$A$1:$B$366,2,0)</f>
        <v>45505</v>
      </c>
      <c r="J93" s="3" t="str">
        <f>IFERROR(VLOOKUP(C93, merchants!$A$1:$D$41, 3, FALSE), "Data Missing")</f>
        <v>ecommerce</v>
      </c>
      <c r="K93" s="3" t="str">
        <f>IFERROR(VLOOKUP(C93, merchants!$A$1:$D$41, 4, FALSE), "Data Missing")</f>
        <v>North</v>
      </c>
      <c r="L93" s="7">
        <f>HLOOKUP(F93,payment_method!$A$1:$E$2,2,0)</f>
        <v>0</v>
      </c>
      <c r="M93" s="3" t="str">
        <f>IF(AND(E93&gt;5000, L93&lt;&gt;"East"), "High-Value Merchant Day", "Normal Day")</f>
        <v>Normal Day</v>
      </c>
    </row>
    <row r="94" spans="1:13" x14ac:dyDescent="0.3">
      <c r="A94" t="s">
        <v>107</v>
      </c>
      <c r="B94">
        <v>157</v>
      </c>
      <c r="C94">
        <v>37</v>
      </c>
      <c r="D94" s="1">
        <v>46050.768750000003</v>
      </c>
      <c r="E94">
        <v>499</v>
      </c>
      <c r="F94" t="s">
        <v>9</v>
      </c>
      <c r="G94" t="s">
        <v>10</v>
      </c>
      <c r="H94">
        <v>79</v>
      </c>
      <c r="I94" s="2">
        <f>VLOOKUP(B94,users!$A$1:$B$366,2,0)</f>
        <v>45403</v>
      </c>
      <c r="J94" s="3" t="str">
        <f>IFERROR(VLOOKUP(C94, merchants!$A$1:$D$41, 3, FALSE), "Data Missing")</f>
        <v>entertainment</v>
      </c>
      <c r="K94" s="3" t="str">
        <f>IFERROR(VLOOKUP(C94, merchants!$A$1:$D$41, 4, FALSE), "Data Missing")</f>
        <v>South</v>
      </c>
      <c r="L94" s="7">
        <f>HLOOKUP(F94,payment_method!$A$1:$E$2,2,0)</f>
        <v>1.2E-2</v>
      </c>
      <c r="M94" s="3" t="str">
        <f>IF(AND(E94&gt;5000, L94&lt;&gt;"East"), "High-Value Merchant Day", "Normal Day")</f>
        <v>Normal Day</v>
      </c>
    </row>
    <row r="95" spans="1:13" x14ac:dyDescent="0.3">
      <c r="A95" t="s">
        <v>108</v>
      </c>
      <c r="B95">
        <v>51</v>
      </c>
      <c r="C95">
        <v>14</v>
      </c>
      <c r="D95" s="1">
        <v>46024.824305555558</v>
      </c>
      <c r="E95">
        <v>1499</v>
      </c>
      <c r="F95" t="s">
        <v>12</v>
      </c>
      <c r="G95" t="s">
        <v>10</v>
      </c>
      <c r="H95">
        <v>80</v>
      </c>
      <c r="I95" s="2">
        <f>VLOOKUP(B95,users!$A$1:$B$366,2,0)</f>
        <v>45383</v>
      </c>
      <c r="J95" s="3" t="str">
        <f>IFERROR(VLOOKUP(C95, merchants!$A$1:$D$41, 3, FALSE), "Data Missing")</f>
        <v>grocery</v>
      </c>
      <c r="K95" s="3" t="str">
        <f>IFERROR(VLOOKUP(C95, merchants!$A$1:$D$41, 4, FALSE), "Data Missing")</f>
        <v>East</v>
      </c>
      <c r="L95" s="7">
        <f>HLOOKUP(F95,payment_method!$A$1:$E$2,2,0)</f>
        <v>0</v>
      </c>
      <c r="M95" s="3" t="str">
        <f>IF(AND(E95&gt;5000, L95&lt;&gt;"East"), "High-Value Merchant Day", "Normal Day")</f>
        <v>Normal Day</v>
      </c>
    </row>
    <row r="96" spans="1:13" x14ac:dyDescent="0.3">
      <c r="A96" t="s">
        <v>109</v>
      </c>
      <c r="B96">
        <v>42</v>
      </c>
      <c r="C96">
        <v>11</v>
      </c>
      <c r="D96" s="1">
        <v>46029.362500000003</v>
      </c>
      <c r="E96">
        <v>49</v>
      </c>
      <c r="F96" t="s">
        <v>9</v>
      </c>
      <c r="G96" t="s">
        <v>10</v>
      </c>
      <c r="H96">
        <v>30</v>
      </c>
      <c r="I96" s="2">
        <f>VLOOKUP(B96,users!$A$1:$B$366,2,0)</f>
        <v>45488</v>
      </c>
      <c r="J96" s="3" t="str">
        <f>IFERROR(VLOOKUP(C96, merchants!$A$1:$D$41, 3, FALSE), "Data Missing")</f>
        <v>ecommerce</v>
      </c>
      <c r="K96" s="3" t="str">
        <f>IFERROR(VLOOKUP(C96, merchants!$A$1:$D$41, 4, FALSE), "Data Missing")</f>
        <v>North</v>
      </c>
      <c r="L96" s="7">
        <f>HLOOKUP(F96,payment_method!$A$1:$E$2,2,0)</f>
        <v>1.2E-2</v>
      </c>
      <c r="M96" s="3" t="str">
        <f>IF(AND(E96&gt;5000, L96&lt;&gt;"East"), "High-Value Merchant Day", "Normal Day")</f>
        <v>Normal Day</v>
      </c>
    </row>
    <row r="97" spans="1:13" x14ac:dyDescent="0.3">
      <c r="A97" t="s">
        <v>110</v>
      </c>
      <c r="B97">
        <v>81</v>
      </c>
      <c r="C97">
        <v>1</v>
      </c>
      <c r="D97" s="1">
        <v>46028.711111111108</v>
      </c>
      <c r="E97">
        <v>149</v>
      </c>
      <c r="F97" t="s">
        <v>12</v>
      </c>
      <c r="G97" t="s">
        <v>10</v>
      </c>
      <c r="H97">
        <v>52</v>
      </c>
      <c r="I97" s="2">
        <f>VLOOKUP(B97,users!$A$1:$B$366,2,0)</f>
        <v>45339</v>
      </c>
      <c r="J97" s="3" t="str">
        <f>IFERROR(VLOOKUP(C97, merchants!$A$1:$D$41, 3, FALSE), "Data Missing")</f>
        <v>ecommerce</v>
      </c>
      <c r="K97" s="3" t="str">
        <f>IFERROR(VLOOKUP(C97, merchants!$A$1:$D$41, 4, FALSE), "Data Missing")</f>
        <v>South</v>
      </c>
      <c r="L97" s="7">
        <f>HLOOKUP(F97,payment_method!$A$1:$E$2,2,0)</f>
        <v>0</v>
      </c>
      <c r="M97" s="3" t="str">
        <f>IF(AND(E97&gt;5000, L97&lt;&gt;"East"), "High-Value Merchant Day", "Normal Day")</f>
        <v>Normal Day</v>
      </c>
    </row>
    <row r="98" spans="1:13" x14ac:dyDescent="0.3">
      <c r="A98" t="s">
        <v>111</v>
      </c>
      <c r="B98">
        <v>241</v>
      </c>
      <c r="C98">
        <v>19</v>
      </c>
      <c r="D98" s="1">
        <v>46037.943055555559</v>
      </c>
      <c r="E98">
        <v>299</v>
      </c>
      <c r="F98" t="s">
        <v>12</v>
      </c>
      <c r="G98" t="s">
        <v>10</v>
      </c>
      <c r="H98">
        <v>4</v>
      </c>
      <c r="I98" s="2">
        <f>VLOOKUP(B98,users!$A$1:$B$366,2,0)</f>
        <v>45924</v>
      </c>
      <c r="J98" s="3" t="str">
        <f>IFERROR(VLOOKUP(C98, merchants!$A$1:$D$41, 3, FALSE), "Data Missing")</f>
        <v>grocery</v>
      </c>
      <c r="K98" s="3" t="str">
        <f>IFERROR(VLOOKUP(C98, merchants!$A$1:$D$41, 4, FALSE), "Data Missing")</f>
        <v>North</v>
      </c>
      <c r="L98" s="7">
        <f>HLOOKUP(F98,payment_method!$A$1:$E$2,2,0)</f>
        <v>0</v>
      </c>
      <c r="M98" s="3" t="str">
        <f>IF(AND(E98&gt;5000, L98&lt;&gt;"East"), "High-Value Merchant Day", "Normal Day")</f>
        <v>Normal Day</v>
      </c>
    </row>
    <row r="99" spans="1:13" x14ac:dyDescent="0.3">
      <c r="A99" t="s">
        <v>112</v>
      </c>
      <c r="B99">
        <v>145</v>
      </c>
      <c r="C99">
        <v>30</v>
      </c>
      <c r="D99" s="1">
        <v>46030.40625</v>
      </c>
      <c r="E99">
        <v>799</v>
      </c>
      <c r="F99" t="s">
        <v>12</v>
      </c>
      <c r="G99" t="s">
        <v>10</v>
      </c>
      <c r="H99">
        <v>9</v>
      </c>
      <c r="I99" s="2">
        <f>VLOOKUP(B99,users!$A$1:$B$366,2,0)</f>
        <v>45961</v>
      </c>
      <c r="J99" s="3" t="str">
        <f>IFERROR(VLOOKUP(C99, merchants!$A$1:$D$41, 3, FALSE), "Data Missing")</f>
        <v>travel</v>
      </c>
      <c r="K99" s="3" t="str">
        <f>IFERROR(VLOOKUP(C99, merchants!$A$1:$D$41, 4, FALSE), "Data Missing")</f>
        <v>West</v>
      </c>
      <c r="L99" s="7">
        <f>HLOOKUP(F99,payment_method!$A$1:$E$2,2,0)</f>
        <v>0</v>
      </c>
      <c r="M99" s="3" t="str">
        <f>IF(AND(E99&gt;5000, L99&lt;&gt;"East"), "High-Value Merchant Day", "Normal Day")</f>
        <v>Normal Day</v>
      </c>
    </row>
    <row r="100" spans="1:13" x14ac:dyDescent="0.3">
      <c r="A100" t="s">
        <v>113</v>
      </c>
      <c r="B100">
        <v>136</v>
      </c>
      <c r="C100">
        <v>38</v>
      </c>
      <c r="D100" s="1">
        <v>46044.332638888889</v>
      </c>
      <c r="E100">
        <v>299</v>
      </c>
      <c r="F100" t="s">
        <v>24</v>
      </c>
      <c r="G100" t="s">
        <v>10</v>
      </c>
      <c r="H100">
        <v>84</v>
      </c>
      <c r="I100" s="2">
        <f>VLOOKUP(B100,users!$A$1:$B$366,2,0)</f>
        <v>45758</v>
      </c>
      <c r="J100" s="3" t="str">
        <f>IFERROR(VLOOKUP(C100, merchants!$A$1:$D$41, 3, FALSE), "Data Missing")</f>
        <v>grocery</v>
      </c>
      <c r="K100" s="3" t="str">
        <f>IFERROR(VLOOKUP(C100, merchants!$A$1:$D$41, 4, FALSE), "Data Missing")</f>
        <v>East</v>
      </c>
      <c r="L100" s="7">
        <f>HLOOKUP(F100,payment_method!$A$1:$E$2,2,0)</f>
        <v>0.02</v>
      </c>
      <c r="M100" s="3" t="str">
        <f>IF(AND(E100&gt;5000, L100&lt;&gt;"East"), "High-Value Merchant Day", "Normal Day")</f>
        <v>Normal Day</v>
      </c>
    </row>
    <row r="101" spans="1:13" x14ac:dyDescent="0.3">
      <c r="A101" t="s">
        <v>114</v>
      </c>
      <c r="B101">
        <v>59</v>
      </c>
      <c r="C101">
        <v>35</v>
      </c>
      <c r="D101" s="1">
        <v>46048.268750000003</v>
      </c>
      <c r="E101">
        <v>499</v>
      </c>
      <c r="F101" t="s">
        <v>12</v>
      </c>
      <c r="G101" t="s">
        <v>10</v>
      </c>
      <c r="H101">
        <v>28</v>
      </c>
      <c r="I101" s="2">
        <f>VLOOKUP(B101,users!$A$1:$B$366,2,0)</f>
        <v>45427</v>
      </c>
      <c r="J101" s="3" t="str">
        <f>IFERROR(VLOOKUP(C101, merchants!$A$1:$D$41, 3, FALSE), "Data Missing")</f>
        <v>recharge</v>
      </c>
      <c r="K101" s="3" t="str">
        <f>IFERROR(VLOOKUP(C101, merchants!$A$1:$D$41, 4, FALSE), "Data Missing")</f>
        <v>East</v>
      </c>
      <c r="L101" s="7">
        <f>HLOOKUP(F101,payment_method!$A$1:$E$2,2,0)</f>
        <v>0</v>
      </c>
      <c r="M101" s="3" t="str">
        <f>IF(AND(E101&gt;5000, L101&lt;&gt;"East"), "High-Value Merchant Day", "Normal Day")</f>
        <v>Normal Day</v>
      </c>
    </row>
    <row r="102" spans="1:13" x14ac:dyDescent="0.3">
      <c r="A102" t="s">
        <v>115</v>
      </c>
      <c r="B102">
        <v>137</v>
      </c>
      <c r="C102">
        <v>10</v>
      </c>
      <c r="D102" s="1">
        <v>46043.206944444442</v>
      </c>
      <c r="E102">
        <v>299</v>
      </c>
      <c r="F102" t="s">
        <v>12</v>
      </c>
      <c r="G102" t="s">
        <v>10</v>
      </c>
      <c r="H102">
        <v>9</v>
      </c>
      <c r="I102" s="2">
        <f>VLOOKUP(B102,users!$A$1:$B$366,2,0)</f>
        <v>45391</v>
      </c>
      <c r="J102" s="3" t="str">
        <f>IFERROR(VLOOKUP(C102, merchants!$A$1:$D$41, 3, FALSE), "Data Missing")</f>
        <v>grocery</v>
      </c>
      <c r="K102" s="3" t="str">
        <f>IFERROR(VLOOKUP(C102, merchants!$A$1:$D$41, 4, FALSE), "Data Missing")</f>
        <v>West</v>
      </c>
      <c r="L102" s="7">
        <f>HLOOKUP(F102,payment_method!$A$1:$E$2,2,0)</f>
        <v>0</v>
      </c>
      <c r="M102" s="3" t="str">
        <f>IF(AND(E102&gt;5000, L102&lt;&gt;"East"), "High-Value Merchant Day", "Normal Day")</f>
        <v>Normal Day</v>
      </c>
    </row>
    <row r="103" spans="1:13" x14ac:dyDescent="0.3">
      <c r="A103" t="s">
        <v>116</v>
      </c>
      <c r="B103">
        <v>158</v>
      </c>
      <c r="C103">
        <v>39</v>
      </c>
      <c r="D103" s="1">
        <v>46024.243055555555</v>
      </c>
      <c r="E103">
        <v>499</v>
      </c>
      <c r="F103" t="s">
        <v>15</v>
      </c>
      <c r="G103" t="s">
        <v>10</v>
      </c>
      <c r="H103">
        <v>95</v>
      </c>
      <c r="I103" s="2">
        <f>VLOOKUP(B103,users!$A$1:$B$366,2,0)</f>
        <v>45509</v>
      </c>
      <c r="J103" s="3" t="str">
        <f>IFERROR(VLOOKUP(C103, merchants!$A$1:$D$41, 3, FALSE), "Data Missing")</f>
        <v>entertainment</v>
      </c>
      <c r="K103" s="3" t="str">
        <f>IFERROR(VLOOKUP(C103, merchants!$A$1:$D$41, 4, FALSE), "Data Missing")</f>
        <v>North</v>
      </c>
      <c r="L103" s="7">
        <f>HLOOKUP(F103,payment_method!$A$1:$E$2,2,0)</f>
        <v>1.4999999999999999E-2</v>
      </c>
      <c r="M103" s="3" t="str">
        <f>IF(AND(E103&gt;5000, L103&lt;&gt;"East"), "High-Value Merchant Day", "Normal Day")</f>
        <v>Normal Day</v>
      </c>
    </row>
    <row r="104" spans="1:13" x14ac:dyDescent="0.3">
      <c r="A104" t="s">
        <v>117</v>
      </c>
      <c r="B104">
        <v>148</v>
      </c>
      <c r="C104">
        <v>29</v>
      </c>
      <c r="D104" s="1">
        <v>46049.790277777778</v>
      </c>
      <c r="E104">
        <v>99</v>
      </c>
      <c r="F104" t="s">
        <v>24</v>
      </c>
      <c r="G104" t="s">
        <v>10</v>
      </c>
      <c r="H104">
        <v>15</v>
      </c>
      <c r="I104" s="2">
        <f>VLOOKUP(B104,users!$A$1:$B$366,2,0)</f>
        <v>45467</v>
      </c>
      <c r="J104" s="3" t="str">
        <f>IFERROR(VLOOKUP(C104, merchants!$A$1:$D$41, 3, FALSE), "Data Missing")</f>
        <v>ecommerce</v>
      </c>
      <c r="K104" s="3" t="str">
        <f>IFERROR(VLOOKUP(C104, merchants!$A$1:$D$41, 4, FALSE), "Data Missing")</f>
        <v>North</v>
      </c>
      <c r="L104" s="7">
        <f>HLOOKUP(F104,payment_method!$A$1:$E$2,2,0)</f>
        <v>0.02</v>
      </c>
      <c r="M104" s="3" t="str">
        <f>IF(AND(E104&gt;5000, L104&lt;&gt;"East"), "High-Value Merchant Day", "Normal Day")</f>
        <v>Normal Day</v>
      </c>
    </row>
    <row r="105" spans="1:13" x14ac:dyDescent="0.3">
      <c r="A105" t="s">
        <v>118</v>
      </c>
      <c r="B105">
        <v>207</v>
      </c>
      <c r="C105">
        <v>18</v>
      </c>
      <c r="D105" s="1">
        <v>46037.929861111108</v>
      </c>
      <c r="E105">
        <v>149</v>
      </c>
      <c r="F105" t="s">
        <v>12</v>
      </c>
      <c r="G105" t="s">
        <v>10</v>
      </c>
      <c r="H105">
        <v>64</v>
      </c>
      <c r="I105" s="2">
        <f>VLOOKUP(B105,users!$A$1:$B$366,2,0)</f>
        <v>45933</v>
      </c>
      <c r="J105" s="3" t="str">
        <f>IFERROR(VLOOKUP(C105, merchants!$A$1:$D$41, 3, FALSE), "Data Missing")</f>
        <v>grocery</v>
      </c>
      <c r="K105" s="3" t="str">
        <f>IFERROR(VLOOKUP(C105, merchants!$A$1:$D$41, 4, FALSE), "Data Missing")</f>
        <v>West</v>
      </c>
      <c r="L105" s="7">
        <f>HLOOKUP(F105,payment_method!$A$1:$E$2,2,0)</f>
        <v>0</v>
      </c>
      <c r="M105" s="3" t="str">
        <f>IF(AND(E105&gt;5000, L105&lt;&gt;"East"), "High-Value Merchant Day", "Normal Day")</f>
        <v>Normal Day</v>
      </c>
    </row>
    <row r="106" spans="1:13" x14ac:dyDescent="0.3">
      <c r="A106" t="s">
        <v>119</v>
      </c>
      <c r="B106">
        <v>42</v>
      </c>
      <c r="C106">
        <v>39</v>
      </c>
      <c r="D106" s="1">
        <v>46040.644444444442</v>
      </c>
      <c r="E106">
        <v>2999</v>
      </c>
      <c r="F106" t="s">
        <v>24</v>
      </c>
      <c r="G106" t="s">
        <v>10</v>
      </c>
      <c r="H106">
        <v>5</v>
      </c>
      <c r="I106" s="2">
        <f>VLOOKUP(B106,users!$A$1:$B$366,2,0)</f>
        <v>45488</v>
      </c>
      <c r="J106" s="3" t="str">
        <f>IFERROR(VLOOKUP(C106, merchants!$A$1:$D$41, 3, FALSE), "Data Missing")</f>
        <v>entertainment</v>
      </c>
      <c r="K106" s="3" t="str">
        <f>IFERROR(VLOOKUP(C106, merchants!$A$1:$D$41, 4, FALSE), "Data Missing")</f>
        <v>North</v>
      </c>
      <c r="L106" s="7">
        <f>HLOOKUP(F106,payment_method!$A$1:$E$2,2,0)</f>
        <v>0.02</v>
      </c>
      <c r="M106" s="3" t="str">
        <f>IF(AND(E106&gt;5000, L106&lt;&gt;"East"), "High-Value Merchant Day", "Normal Day")</f>
        <v>Normal Day</v>
      </c>
    </row>
    <row r="107" spans="1:13" x14ac:dyDescent="0.3">
      <c r="A107" t="s">
        <v>120</v>
      </c>
      <c r="B107">
        <v>166</v>
      </c>
      <c r="C107">
        <v>39</v>
      </c>
      <c r="D107" s="1">
        <v>46051.574305555558</v>
      </c>
      <c r="E107">
        <v>149</v>
      </c>
      <c r="F107" t="s">
        <v>12</v>
      </c>
      <c r="G107" t="s">
        <v>10</v>
      </c>
      <c r="H107">
        <v>32</v>
      </c>
      <c r="I107" s="2">
        <f>VLOOKUP(B107,users!$A$1:$B$366,2,0)</f>
        <v>45552</v>
      </c>
      <c r="J107" s="3" t="str">
        <f>IFERROR(VLOOKUP(C107, merchants!$A$1:$D$41, 3, FALSE), "Data Missing")</f>
        <v>entertainment</v>
      </c>
      <c r="K107" s="3" t="str">
        <f>IFERROR(VLOOKUP(C107, merchants!$A$1:$D$41, 4, FALSE), "Data Missing")</f>
        <v>North</v>
      </c>
      <c r="L107" s="7">
        <f>HLOOKUP(F107,payment_method!$A$1:$E$2,2,0)</f>
        <v>0</v>
      </c>
      <c r="M107" s="3" t="str">
        <f>IF(AND(E107&gt;5000, L107&lt;&gt;"East"), "High-Value Merchant Day", "Normal Day")</f>
        <v>Normal Day</v>
      </c>
    </row>
    <row r="108" spans="1:13" x14ac:dyDescent="0.3">
      <c r="A108" t="s">
        <v>121</v>
      </c>
      <c r="B108">
        <v>346</v>
      </c>
      <c r="C108">
        <v>37</v>
      </c>
      <c r="D108" s="1">
        <v>46023.093055555553</v>
      </c>
      <c r="E108">
        <v>99</v>
      </c>
      <c r="F108" t="s">
        <v>12</v>
      </c>
      <c r="G108" t="s">
        <v>10</v>
      </c>
      <c r="H108">
        <v>75</v>
      </c>
      <c r="I108" s="2">
        <f>VLOOKUP(B108,users!$A$1:$B$366,2,0)</f>
        <v>45863</v>
      </c>
      <c r="J108" s="3" t="str">
        <f>IFERROR(VLOOKUP(C108, merchants!$A$1:$D$41, 3, FALSE), "Data Missing")</f>
        <v>entertainment</v>
      </c>
      <c r="K108" s="3" t="str">
        <f>IFERROR(VLOOKUP(C108, merchants!$A$1:$D$41, 4, FALSE), "Data Missing")</f>
        <v>South</v>
      </c>
      <c r="L108" s="7">
        <f>HLOOKUP(F108,payment_method!$A$1:$E$2,2,0)</f>
        <v>0</v>
      </c>
      <c r="M108" s="3" t="str">
        <f>IF(AND(E108&gt;5000, L108&lt;&gt;"East"), "High-Value Merchant Day", "Normal Day")</f>
        <v>Normal Day</v>
      </c>
    </row>
    <row r="109" spans="1:13" x14ac:dyDescent="0.3">
      <c r="A109" t="s">
        <v>122</v>
      </c>
      <c r="B109">
        <v>138</v>
      </c>
      <c r="C109">
        <v>37</v>
      </c>
      <c r="D109" s="1">
        <v>46023.911111111112</v>
      </c>
      <c r="E109">
        <v>499</v>
      </c>
      <c r="F109" t="s">
        <v>12</v>
      </c>
      <c r="G109" t="s">
        <v>10</v>
      </c>
      <c r="H109">
        <v>5</v>
      </c>
      <c r="I109" s="2">
        <f>VLOOKUP(B109,users!$A$1:$B$366,2,0)</f>
        <v>45768</v>
      </c>
      <c r="J109" s="3" t="str">
        <f>IFERROR(VLOOKUP(C109, merchants!$A$1:$D$41, 3, FALSE), "Data Missing")</f>
        <v>entertainment</v>
      </c>
      <c r="K109" s="3" t="str">
        <f>IFERROR(VLOOKUP(C109, merchants!$A$1:$D$41, 4, FALSE), "Data Missing")</f>
        <v>South</v>
      </c>
      <c r="L109" s="7">
        <f>HLOOKUP(F109,payment_method!$A$1:$E$2,2,0)</f>
        <v>0</v>
      </c>
      <c r="M109" s="3" t="str">
        <f>IF(AND(E109&gt;5000, L109&lt;&gt;"East"), "High-Value Merchant Day", "Normal Day")</f>
        <v>Normal Day</v>
      </c>
    </row>
    <row r="110" spans="1:13" x14ac:dyDescent="0.3">
      <c r="A110" t="s">
        <v>123</v>
      </c>
      <c r="B110">
        <v>266</v>
      </c>
      <c r="C110">
        <v>29</v>
      </c>
      <c r="D110" s="1">
        <v>46047.229166666664</v>
      </c>
      <c r="E110">
        <v>499</v>
      </c>
      <c r="F110" t="s">
        <v>9</v>
      </c>
      <c r="G110" t="s">
        <v>25</v>
      </c>
      <c r="H110">
        <v>35</v>
      </c>
      <c r="I110" s="2">
        <f>VLOOKUP(B110,users!$A$1:$B$366,2,0)</f>
        <v>45859</v>
      </c>
      <c r="J110" s="3" t="str">
        <f>IFERROR(VLOOKUP(C110, merchants!$A$1:$D$41, 3, FALSE), "Data Missing")</f>
        <v>ecommerce</v>
      </c>
      <c r="K110" s="3" t="str">
        <f>IFERROR(VLOOKUP(C110, merchants!$A$1:$D$41, 4, FALSE), "Data Missing")</f>
        <v>North</v>
      </c>
      <c r="L110" s="7">
        <f>HLOOKUP(F110,payment_method!$A$1:$E$2,2,0)</f>
        <v>1.2E-2</v>
      </c>
      <c r="M110" s="3" t="str">
        <f>IF(AND(E110&gt;5000, L110&lt;&gt;"East"), "High-Value Merchant Day", "Normal Day")</f>
        <v>Normal Day</v>
      </c>
    </row>
    <row r="111" spans="1:13" x14ac:dyDescent="0.3">
      <c r="A111" t="s">
        <v>124</v>
      </c>
      <c r="B111">
        <v>326</v>
      </c>
      <c r="C111">
        <v>32</v>
      </c>
      <c r="D111" s="1">
        <v>46028.768750000003</v>
      </c>
      <c r="E111">
        <v>149</v>
      </c>
      <c r="F111" t="s">
        <v>12</v>
      </c>
      <c r="G111" t="s">
        <v>10</v>
      </c>
      <c r="H111">
        <v>11</v>
      </c>
      <c r="I111" s="2">
        <f>VLOOKUP(B111,users!$A$1:$B$366,2,0)</f>
        <v>45652</v>
      </c>
      <c r="J111" s="3" t="str">
        <f>IFERROR(VLOOKUP(C111, merchants!$A$1:$D$41, 3, FALSE), "Data Missing")</f>
        <v>food_delivery</v>
      </c>
      <c r="K111" s="3" t="str">
        <f>IFERROR(VLOOKUP(C111, merchants!$A$1:$D$41, 4, FALSE), "Data Missing")</f>
        <v>West</v>
      </c>
      <c r="L111" s="7">
        <f>HLOOKUP(F111,payment_method!$A$1:$E$2,2,0)</f>
        <v>0</v>
      </c>
      <c r="M111" s="3" t="str">
        <f>IF(AND(E111&gt;5000, L111&lt;&gt;"East"), "High-Value Merchant Day", "Normal Day")</f>
        <v>Normal Day</v>
      </c>
    </row>
    <row r="112" spans="1:13" x14ac:dyDescent="0.3">
      <c r="A112" t="s">
        <v>125</v>
      </c>
      <c r="B112">
        <v>171</v>
      </c>
      <c r="C112">
        <v>21</v>
      </c>
      <c r="D112" s="1">
        <v>46038.476388888892</v>
      </c>
      <c r="E112">
        <v>799</v>
      </c>
      <c r="F112" t="s">
        <v>12</v>
      </c>
      <c r="G112" t="s">
        <v>10</v>
      </c>
      <c r="H112">
        <v>85</v>
      </c>
      <c r="I112" s="2">
        <f>VLOOKUP(B112,users!$A$1:$B$366,2,0)</f>
        <v>45938</v>
      </c>
      <c r="J112" s="3" t="str">
        <f>IFERROR(VLOOKUP(C112, merchants!$A$1:$D$41, 3, FALSE), "Data Missing")</f>
        <v>food_delivery</v>
      </c>
      <c r="K112" s="3" t="str">
        <f>IFERROR(VLOOKUP(C112, merchants!$A$1:$D$41, 4, FALSE), "Data Missing")</f>
        <v>East</v>
      </c>
      <c r="L112" s="7">
        <f>HLOOKUP(F112,payment_method!$A$1:$E$2,2,0)</f>
        <v>0</v>
      </c>
      <c r="M112" s="3" t="str">
        <f>IF(AND(E112&gt;5000, L112&lt;&gt;"East"), "High-Value Merchant Day", "Normal Day")</f>
        <v>Normal Day</v>
      </c>
    </row>
    <row r="113" spans="1:13" x14ac:dyDescent="0.3">
      <c r="A113" t="s">
        <v>126</v>
      </c>
      <c r="B113">
        <v>211</v>
      </c>
      <c r="C113">
        <v>32</v>
      </c>
      <c r="D113" s="1">
        <v>46026.222916666666</v>
      </c>
      <c r="E113">
        <v>49</v>
      </c>
      <c r="F113" t="s">
        <v>12</v>
      </c>
      <c r="G113" t="s">
        <v>10</v>
      </c>
      <c r="H113">
        <v>36</v>
      </c>
      <c r="I113" s="2">
        <f>VLOOKUP(B113,users!$A$1:$B$366,2,0)</f>
        <v>45594</v>
      </c>
      <c r="J113" s="3" t="str">
        <f>IFERROR(VLOOKUP(C113, merchants!$A$1:$D$41, 3, FALSE), "Data Missing")</f>
        <v>food_delivery</v>
      </c>
      <c r="K113" s="3" t="str">
        <f>IFERROR(VLOOKUP(C113, merchants!$A$1:$D$41, 4, FALSE), "Data Missing")</f>
        <v>West</v>
      </c>
      <c r="L113" s="7">
        <f>HLOOKUP(F113,payment_method!$A$1:$E$2,2,0)</f>
        <v>0</v>
      </c>
      <c r="M113" s="3" t="str">
        <f>IF(AND(E113&gt;5000, L113&lt;&gt;"East"), "High-Value Merchant Day", "Normal Day")</f>
        <v>Normal Day</v>
      </c>
    </row>
    <row r="114" spans="1:13" x14ac:dyDescent="0.3">
      <c r="A114" t="s">
        <v>127</v>
      </c>
      <c r="B114">
        <v>282</v>
      </c>
      <c r="C114">
        <v>3</v>
      </c>
      <c r="D114" s="1">
        <v>46044.536111111112</v>
      </c>
      <c r="E114">
        <v>499</v>
      </c>
      <c r="F114" t="s">
        <v>12</v>
      </c>
      <c r="G114" t="s">
        <v>10</v>
      </c>
      <c r="H114">
        <v>58</v>
      </c>
      <c r="I114" s="2">
        <f>VLOOKUP(B114,users!$A$1:$B$366,2,0)</f>
        <v>45722</v>
      </c>
      <c r="J114" s="3" t="str">
        <f>IFERROR(VLOOKUP(C114, merchants!$A$1:$D$41, 3, FALSE), "Data Missing")</f>
        <v>grocery</v>
      </c>
      <c r="K114" s="3" t="str">
        <f>IFERROR(VLOOKUP(C114, merchants!$A$1:$D$41, 4, FALSE), "Data Missing")</f>
        <v>East</v>
      </c>
      <c r="L114" s="7">
        <f>HLOOKUP(F114,payment_method!$A$1:$E$2,2,0)</f>
        <v>0</v>
      </c>
      <c r="M114" s="3" t="str">
        <f>IF(AND(E114&gt;5000, L114&lt;&gt;"East"), "High-Value Merchant Day", "Normal Day")</f>
        <v>Normal Day</v>
      </c>
    </row>
    <row r="115" spans="1:13" x14ac:dyDescent="0.3">
      <c r="A115" t="s">
        <v>128</v>
      </c>
      <c r="B115">
        <v>166</v>
      </c>
      <c r="C115">
        <v>8</v>
      </c>
      <c r="D115" s="1">
        <v>46025.427777777775</v>
      </c>
      <c r="E115">
        <v>299</v>
      </c>
      <c r="F115" t="s">
        <v>12</v>
      </c>
      <c r="G115" t="s">
        <v>10</v>
      </c>
      <c r="H115">
        <v>98</v>
      </c>
      <c r="I115" s="2">
        <f>VLOOKUP(B115,users!$A$1:$B$366,2,0)</f>
        <v>45552</v>
      </c>
      <c r="J115" s="3" t="str">
        <f>IFERROR(VLOOKUP(C115, merchants!$A$1:$D$41, 3, FALSE), "Data Missing")</f>
        <v>food_delivery</v>
      </c>
      <c r="K115" s="3" t="str">
        <f>IFERROR(VLOOKUP(C115, merchants!$A$1:$D$41, 4, FALSE), "Data Missing")</f>
        <v>North</v>
      </c>
      <c r="L115" s="7">
        <f>HLOOKUP(F115,payment_method!$A$1:$E$2,2,0)</f>
        <v>0</v>
      </c>
      <c r="M115" s="3" t="str">
        <f>IF(AND(E115&gt;5000, L115&lt;&gt;"East"), "High-Value Merchant Day", "Normal Day")</f>
        <v>Normal Day</v>
      </c>
    </row>
    <row r="116" spans="1:13" x14ac:dyDescent="0.3">
      <c r="A116" t="s">
        <v>129</v>
      </c>
      <c r="B116">
        <v>1</v>
      </c>
      <c r="C116">
        <v>35</v>
      </c>
      <c r="D116" s="1">
        <v>46035.702777777777</v>
      </c>
      <c r="E116">
        <v>149</v>
      </c>
      <c r="F116" t="s">
        <v>12</v>
      </c>
      <c r="G116" t="s">
        <v>10</v>
      </c>
      <c r="H116">
        <v>59</v>
      </c>
      <c r="I116" s="2">
        <f>VLOOKUP(B116,users!$A$1:$B$366,2,0)</f>
        <v>45447</v>
      </c>
      <c r="J116" s="3" t="str">
        <f>IFERROR(VLOOKUP(C116, merchants!$A$1:$D$41, 3, FALSE), "Data Missing")</f>
        <v>recharge</v>
      </c>
      <c r="K116" s="3" t="str">
        <f>IFERROR(VLOOKUP(C116, merchants!$A$1:$D$41, 4, FALSE), "Data Missing")</f>
        <v>East</v>
      </c>
      <c r="L116" s="7">
        <f>HLOOKUP(F116,payment_method!$A$1:$E$2,2,0)</f>
        <v>0</v>
      </c>
      <c r="M116" s="3" t="str">
        <f>IF(AND(E116&gt;5000, L116&lt;&gt;"East"), "High-Value Merchant Day", "Normal Day")</f>
        <v>Normal Day</v>
      </c>
    </row>
    <row r="117" spans="1:13" x14ac:dyDescent="0.3">
      <c r="A117" t="s">
        <v>130</v>
      </c>
      <c r="B117">
        <v>266</v>
      </c>
      <c r="C117">
        <v>24</v>
      </c>
      <c r="D117" s="1">
        <v>46036.05</v>
      </c>
      <c r="E117">
        <v>499</v>
      </c>
      <c r="F117" t="s">
        <v>12</v>
      </c>
      <c r="G117" t="s">
        <v>10</v>
      </c>
      <c r="H117">
        <v>79</v>
      </c>
      <c r="I117" s="2">
        <f>VLOOKUP(B117,users!$A$1:$B$366,2,0)</f>
        <v>45859</v>
      </c>
      <c r="J117" s="3" t="str">
        <f>IFERROR(VLOOKUP(C117, merchants!$A$1:$D$41, 3, FALSE), "Data Missing")</f>
        <v>grocery</v>
      </c>
      <c r="K117" s="3" t="str">
        <f>IFERROR(VLOOKUP(C117, merchants!$A$1:$D$41, 4, FALSE), "Data Missing")</f>
        <v>North</v>
      </c>
      <c r="L117" s="7">
        <f>HLOOKUP(F117,payment_method!$A$1:$E$2,2,0)</f>
        <v>0</v>
      </c>
      <c r="M117" s="3" t="str">
        <f>IF(AND(E117&gt;5000, L117&lt;&gt;"East"), "High-Value Merchant Day", "Normal Day")</f>
        <v>Normal Day</v>
      </c>
    </row>
    <row r="118" spans="1:13" x14ac:dyDescent="0.3">
      <c r="A118" t="s">
        <v>131</v>
      </c>
      <c r="B118">
        <v>227</v>
      </c>
      <c r="C118">
        <v>4</v>
      </c>
      <c r="D118" s="1">
        <v>46047.652777777781</v>
      </c>
      <c r="E118">
        <v>499</v>
      </c>
      <c r="F118" t="s">
        <v>12</v>
      </c>
      <c r="G118" t="s">
        <v>10</v>
      </c>
      <c r="H118">
        <v>26</v>
      </c>
      <c r="I118" s="2">
        <f>VLOOKUP(B118,users!$A$1:$B$366,2,0)</f>
        <v>45672</v>
      </c>
      <c r="J118" s="3" t="str">
        <f>IFERROR(VLOOKUP(C118, merchants!$A$1:$D$41, 3, FALSE), "Data Missing")</f>
        <v>ecommerce</v>
      </c>
      <c r="K118" s="3" t="str">
        <f>IFERROR(VLOOKUP(C118, merchants!$A$1:$D$41, 4, FALSE), "Data Missing")</f>
        <v>East</v>
      </c>
      <c r="L118" s="7">
        <f>HLOOKUP(F118,payment_method!$A$1:$E$2,2,0)</f>
        <v>0</v>
      </c>
      <c r="M118" s="3" t="str">
        <f>IF(AND(E118&gt;5000, L118&lt;&gt;"East"), "High-Value Merchant Day", "Normal Day")</f>
        <v>Normal Day</v>
      </c>
    </row>
    <row r="119" spans="1:13" x14ac:dyDescent="0.3">
      <c r="A119" t="s">
        <v>132</v>
      </c>
      <c r="B119">
        <v>148</v>
      </c>
      <c r="C119">
        <v>29</v>
      </c>
      <c r="D119" s="1">
        <v>46031.713888888888</v>
      </c>
      <c r="E119">
        <v>499</v>
      </c>
      <c r="F119" t="s">
        <v>12</v>
      </c>
      <c r="G119" t="s">
        <v>10</v>
      </c>
      <c r="H119">
        <v>89</v>
      </c>
      <c r="I119" s="2">
        <f>VLOOKUP(B119,users!$A$1:$B$366,2,0)</f>
        <v>45467</v>
      </c>
      <c r="J119" s="3" t="str">
        <f>IFERROR(VLOOKUP(C119, merchants!$A$1:$D$41, 3, FALSE), "Data Missing")</f>
        <v>ecommerce</v>
      </c>
      <c r="K119" s="3" t="str">
        <f>IFERROR(VLOOKUP(C119, merchants!$A$1:$D$41, 4, FALSE), "Data Missing")</f>
        <v>North</v>
      </c>
      <c r="L119" s="7">
        <f>HLOOKUP(F119,payment_method!$A$1:$E$2,2,0)</f>
        <v>0</v>
      </c>
      <c r="M119" s="3" t="str">
        <f>IF(AND(E119&gt;5000, L119&lt;&gt;"East"), "High-Value Merchant Day", "Normal Day")</f>
        <v>Normal Day</v>
      </c>
    </row>
    <row r="120" spans="1:13" x14ac:dyDescent="0.3">
      <c r="A120" t="s">
        <v>133</v>
      </c>
      <c r="B120">
        <v>323</v>
      </c>
      <c r="C120">
        <v>39</v>
      </c>
      <c r="D120" s="1">
        <v>46038.125694444447</v>
      </c>
      <c r="E120">
        <v>499</v>
      </c>
      <c r="F120" t="s">
        <v>12</v>
      </c>
      <c r="G120" t="s">
        <v>10</v>
      </c>
      <c r="H120">
        <v>30</v>
      </c>
      <c r="I120" s="2">
        <f>VLOOKUP(B120,users!$A$1:$B$366,2,0)</f>
        <v>45710</v>
      </c>
      <c r="J120" s="3" t="str">
        <f>IFERROR(VLOOKUP(C120, merchants!$A$1:$D$41, 3, FALSE), "Data Missing")</f>
        <v>entertainment</v>
      </c>
      <c r="K120" s="3" t="str">
        <f>IFERROR(VLOOKUP(C120, merchants!$A$1:$D$41, 4, FALSE), "Data Missing")</f>
        <v>North</v>
      </c>
      <c r="L120" s="7">
        <f>HLOOKUP(F120,payment_method!$A$1:$E$2,2,0)</f>
        <v>0</v>
      </c>
      <c r="M120" s="3" t="str">
        <f>IF(AND(E120&gt;5000, L120&lt;&gt;"East"), "High-Value Merchant Day", "Normal Day")</f>
        <v>Normal Day</v>
      </c>
    </row>
    <row r="121" spans="1:13" x14ac:dyDescent="0.3">
      <c r="A121" t="s">
        <v>134</v>
      </c>
      <c r="B121">
        <v>283</v>
      </c>
      <c r="C121">
        <v>1</v>
      </c>
      <c r="D121" s="1">
        <v>46045.22152777778</v>
      </c>
      <c r="E121">
        <v>2999</v>
      </c>
      <c r="F121" t="s">
        <v>9</v>
      </c>
      <c r="G121" t="s">
        <v>10</v>
      </c>
      <c r="H121">
        <v>70</v>
      </c>
      <c r="I121" s="2">
        <f>VLOOKUP(B121,users!$A$1:$B$366,2,0)</f>
        <v>45858</v>
      </c>
      <c r="J121" s="3" t="str">
        <f>IFERROR(VLOOKUP(C121, merchants!$A$1:$D$41, 3, FALSE), "Data Missing")</f>
        <v>ecommerce</v>
      </c>
      <c r="K121" s="3" t="str">
        <f>IFERROR(VLOOKUP(C121, merchants!$A$1:$D$41, 4, FALSE), "Data Missing")</f>
        <v>South</v>
      </c>
      <c r="L121" s="7">
        <f>HLOOKUP(F121,payment_method!$A$1:$E$2,2,0)</f>
        <v>1.2E-2</v>
      </c>
      <c r="M121" s="3" t="str">
        <f>IF(AND(E121&gt;5000, L121&lt;&gt;"East"), "High-Value Merchant Day", "Normal Day")</f>
        <v>Normal Day</v>
      </c>
    </row>
    <row r="122" spans="1:13" x14ac:dyDescent="0.3">
      <c r="A122" t="s">
        <v>135</v>
      </c>
      <c r="B122">
        <v>59</v>
      </c>
      <c r="C122">
        <v>30</v>
      </c>
      <c r="D122" s="1">
        <v>46036.093055555553</v>
      </c>
      <c r="E122">
        <v>499</v>
      </c>
      <c r="F122" t="s">
        <v>12</v>
      </c>
      <c r="G122" t="s">
        <v>10</v>
      </c>
      <c r="H122">
        <v>15</v>
      </c>
      <c r="I122" s="2">
        <f>VLOOKUP(B122,users!$A$1:$B$366,2,0)</f>
        <v>45427</v>
      </c>
      <c r="J122" s="3" t="str">
        <f>IFERROR(VLOOKUP(C122, merchants!$A$1:$D$41, 3, FALSE), "Data Missing")</f>
        <v>travel</v>
      </c>
      <c r="K122" s="3" t="str">
        <f>IFERROR(VLOOKUP(C122, merchants!$A$1:$D$41, 4, FALSE), "Data Missing")</f>
        <v>West</v>
      </c>
      <c r="L122" s="7">
        <f>HLOOKUP(F122,payment_method!$A$1:$E$2,2,0)</f>
        <v>0</v>
      </c>
      <c r="M122" s="3" t="str">
        <f>IF(AND(E122&gt;5000, L122&lt;&gt;"East"), "High-Value Merchant Day", "Normal Day")</f>
        <v>Normal Day</v>
      </c>
    </row>
    <row r="123" spans="1:13" x14ac:dyDescent="0.3">
      <c r="A123" t="s">
        <v>136</v>
      </c>
      <c r="B123">
        <v>150</v>
      </c>
      <c r="C123">
        <v>33</v>
      </c>
      <c r="D123" s="1">
        <v>46043.188194444447</v>
      </c>
      <c r="E123">
        <v>2999</v>
      </c>
      <c r="F123" t="s">
        <v>12</v>
      </c>
      <c r="G123" t="s">
        <v>10</v>
      </c>
      <c r="H123">
        <v>90</v>
      </c>
      <c r="I123" s="2">
        <f>VLOOKUP(B123,users!$A$1:$B$366,2,0)</f>
        <v>45708</v>
      </c>
      <c r="J123" s="3" t="str">
        <f>IFERROR(VLOOKUP(C123, merchants!$A$1:$D$41, 3, FALSE), "Data Missing")</f>
        <v>bill_payment</v>
      </c>
      <c r="K123" s="3" t="str">
        <f>IFERROR(VLOOKUP(C123, merchants!$A$1:$D$41, 4, FALSE), "Data Missing")</f>
        <v>East</v>
      </c>
      <c r="L123" s="7">
        <f>HLOOKUP(F123,payment_method!$A$1:$E$2,2,0)</f>
        <v>0</v>
      </c>
      <c r="M123" s="3" t="str">
        <f>IF(AND(E123&gt;5000, L123&lt;&gt;"East"), "High-Value Merchant Day", "Normal Day")</f>
        <v>Normal Day</v>
      </c>
    </row>
    <row r="124" spans="1:13" x14ac:dyDescent="0.3">
      <c r="A124" t="s">
        <v>137</v>
      </c>
      <c r="B124">
        <v>248</v>
      </c>
      <c r="C124">
        <v>31</v>
      </c>
      <c r="D124" s="1">
        <v>46031.578472222223</v>
      </c>
      <c r="E124">
        <v>1499</v>
      </c>
      <c r="F124" t="s">
        <v>12</v>
      </c>
      <c r="G124" t="s">
        <v>25</v>
      </c>
      <c r="H124">
        <v>31</v>
      </c>
      <c r="I124" s="2">
        <f>VLOOKUP(B124,users!$A$1:$B$366,2,0)</f>
        <v>45401</v>
      </c>
      <c r="J124" s="3" t="str">
        <f>IFERROR(VLOOKUP(C124, merchants!$A$1:$D$41, 3, FALSE), "Data Missing")</f>
        <v>bill_payment</v>
      </c>
      <c r="K124" s="3" t="str">
        <f>IFERROR(VLOOKUP(C124, merchants!$A$1:$D$41, 4, FALSE), "Data Missing")</f>
        <v>East</v>
      </c>
      <c r="L124" s="7">
        <f>HLOOKUP(F124,payment_method!$A$1:$E$2,2,0)</f>
        <v>0</v>
      </c>
      <c r="M124" s="3" t="str">
        <f>IF(AND(E124&gt;5000, L124&lt;&gt;"East"), "High-Value Merchant Day", "Normal Day")</f>
        <v>Normal Day</v>
      </c>
    </row>
    <row r="125" spans="1:13" x14ac:dyDescent="0.3">
      <c r="A125" t="s">
        <v>138</v>
      </c>
      <c r="B125">
        <v>197</v>
      </c>
      <c r="C125">
        <v>13</v>
      </c>
      <c r="D125" s="1">
        <v>46037.714583333334</v>
      </c>
      <c r="E125">
        <v>49</v>
      </c>
      <c r="F125" t="s">
        <v>12</v>
      </c>
      <c r="G125" t="s">
        <v>10</v>
      </c>
      <c r="H125">
        <v>76</v>
      </c>
      <c r="I125" s="2">
        <f>VLOOKUP(B125,users!$A$1:$B$366,2,0)</f>
        <v>45440</v>
      </c>
      <c r="J125" s="3" t="str">
        <f>IFERROR(VLOOKUP(C125, merchants!$A$1:$D$41, 3, FALSE), "Data Missing")</f>
        <v>travel</v>
      </c>
      <c r="K125" s="3" t="str">
        <f>IFERROR(VLOOKUP(C125, merchants!$A$1:$D$41, 4, FALSE), "Data Missing")</f>
        <v>East</v>
      </c>
      <c r="L125" s="7">
        <f>HLOOKUP(F125,payment_method!$A$1:$E$2,2,0)</f>
        <v>0</v>
      </c>
      <c r="M125" s="3" t="str">
        <f>IF(AND(E125&gt;5000, L125&lt;&gt;"East"), "High-Value Merchant Day", "Normal Day")</f>
        <v>Normal Day</v>
      </c>
    </row>
    <row r="126" spans="1:13" x14ac:dyDescent="0.3">
      <c r="A126" t="s">
        <v>139</v>
      </c>
      <c r="B126">
        <v>70</v>
      </c>
      <c r="C126">
        <v>5</v>
      </c>
      <c r="D126" s="1">
        <v>46039.99722222222</v>
      </c>
      <c r="E126">
        <v>499</v>
      </c>
      <c r="F126" t="s">
        <v>12</v>
      </c>
      <c r="G126" t="s">
        <v>10</v>
      </c>
      <c r="H126">
        <v>35</v>
      </c>
      <c r="I126" s="2">
        <f>VLOOKUP(B126,users!$A$1:$B$366,2,0)</f>
        <v>45548</v>
      </c>
      <c r="J126" s="3" t="str">
        <f>IFERROR(VLOOKUP(C126, merchants!$A$1:$D$41, 3, FALSE), "Data Missing")</f>
        <v>recharge</v>
      </c>
      <c r="K126" s="3" t="str">
        <f>IFERROR(VLOOKUP(C126, merchants!$A$1:$D$41, 4, FALSE), "Data Missing")</f>
        <v>South</v>
      </c>
      <c r="L126" s="7">
        <f>HLOOKUP(F126,payment_method!$A$1:$E$2,2,0)</f>
        <v>0</v>
      </c>
      <c r="M126" s="3" t="str">
        <f>IF(AND(E126&gt;5000, L126&lt;&gt;"East"), "High-Value Merchant Day", "Normal Day")</f>
        <v>Normal Day</v>
      </c>
    </row>
    <row r="127" spans="1:13" x14ac:dyDescent="0.3">
      <c r="A127" t="s">
        <v>140</v>
      </c>
      <c r="B127">
        <v>260</v>
      </c>
      <c r="C127">
        <v>18</v>
      </c>
      <c r="D127" s="1">
        <v>46047.556250000001</v>
      </c>
      <c r="E127">
        <v>1499</v>
      </c>
      <c r="F127" t="s">
        <v>12</v>
      </c>
      <c r="G127" t="s">
        <v>10</v>
      </c>
      <c r="H127">
        <v>0</v>
      </c>
      <c r="I127" s="2">
        <f>VLOOKUP(B127,users!$A$1:$B$366,2,0)</f>
        <v>45784</v>
      </c>
      <c r="J127" s="3" t="str">
        <f>IFERROR(VLOOKUP(C127, merchants!$A$1:$D$41, 3, FALSE), "Data Missing")</f>
        <v>grocery</v>
      </c>
      <c r="K127" s="3" t="str">
        <f>IFERROR(VLOOKUP(C127, merchants!$A$1:$D$41, 4, FALSE), "Data Missing")</f>
        <v>West</v>
      </c>
      <c r="L127" s="7">
        <f>HLOOKUP(F127,payment_method!$A$1:$E$2,2,0)</f>
        <v>0</v>
      </c>
      <c r="M127" s="3" t="str">
        <f>IF(AND(E127&gt;5000, L127&lt;&gt;"East"), "High-Value Merchant Day", "Normal Day")</f>
        <v>Normal Day</v>
      </c>
    </row>
    <row r="128" spans="1:13" x14ac:dyDescent="0.3">
      <c r="A128" t="s">
        <v>141</v>
      </c>
      <c r="B128">
        <v>301</v>
      </c>
      <c r="C128">
        <v>38</v>
      </c>
      <c r="D128" s="1">
        <v>46032.97152777778</v>
      </c>
      <c r="E128">
        <v>99</v>
      </c>
      <c r="F128" t="s">
        <v>12</v>
      </c>
      <c r="G128" t="s">
        <v>10</v>
      </c>
      <c r="H128">
        <v>84</v>
      </c>
      <c r="I128" s="2">
        <f>VLOOKUP(B128,users!$A$1:$B$366,2,0)</f>
        <v>45887</v>
      </c>
      <c r="J128" s="3" t="str">
        <f>IFERROR(VLOOKUP(C128, merchants!$A$1:$D$41, 3, FALSE), "Data Missing")</f>
        <v>grocery</v>
      </c>
      <c r="K128" s="3" t="str">
        <f>IFERROR(VLOOKUP(C128, merchants!$A$1:$D$41, 4, FALSE), "Data Missing")</f>
        <v>East</v>
      </c>
      <c r="L128" s="7">
        <f>HLOOKUP(F128,payment_method!$A$1:$E$2,2,0)</f>
        <v>0</v>
      </c>
      <c r="M128" s="3" t="str">
        <f>IF(AND(E128&gt;5000, L128&lt;&gt;"East"), "High-Value Merchant Day", "Normal Day")</f>
        <v>Normal Day</v>
      </c>
    </row>
    <row r="129" spans="1:13" x14ac:dyDescent="0.3">
      <c r="A129" t="s">
        <v>142</v>
      </c>
      <c r="B129">
        <v>276</v>
      </c>
      <c r="C129">
        <v>31</v>
      </c>
      <c r="D129" s="1">
        <v>46038.186111111114</v>
      </c>
      <c r="E129">
        <v>499</v>
      </c>
      <c r="F129" t="s">
        <v>24</v>
      </c>
      <c r="G129" t="s">
        <v>10</v>
      </c>
      <c r="H129">
        <v>44</v>
      </c>
      <c r="I129" s="2">
        <f>VLOOKUP(B129,users!$A$1:$B$366,2,0)</f>
        <v>45417</v>
      </c>
      <c r="J129" s="3" t="str">
        <f>IFERROR(VLOOKUP(C129, merchants!$A$1:$D$41, 3, FALSE), "Data Missing")</f>
        <v>bill_payment</v>
      </c>
      <c r="K129" s="3" t="str">
        <f>IFERROR(VLOOKUP(C129, merchants!$A$1:$D$41, 4, FALSE), "Data Missing")</f>
        <v>East</v>
      </c>
      <c r="L129" s="7">
        <f>HLOOKUP(F129,payment_method!$A$1:$E$2,2,0)</f>
        <v>0.02</v>
      </c>
      <c r="M129" s="3" t="str">
        <f>IF(AND(E129&gt;5000, L129&lt;&gt;"East"), "High-Value Merchant Day", "Normal Day")</f>
        <v>Normal Day</v>
      </c>
    </row>
    <row r="130" spans="1:13" x14ac:dyDescent="0.3">
      <c r="A130" t="s">
        <v>143</v>
      </c>
      <c r="B130">
        <v>279</v>
      </c>
      <c r="C130">
        <v>25</v>
      </c>
      <c r="D130" s="1">
        <v>46033.741666666669</v>
      </c>
      <c r="E130">
        <v>799</v>
      </c>
      <c r="F130" t="s">
        <v>12</v>
      </c>
      <c r="G130" t="s">
        <v>10</v>
      </c>
      <c r="H130">
        <v>58</v>
      </c>
      <c r="I130" s="2">
        <f>VLOOKUP(B130,users!$A$1:$B$366,2,0)</f>
        <v>45443</v>
      </c>
      <c r="J130" s="3" t="str">
        <f>IFERROR(VLOOKUP(C130, merchants!$A$1:$D$41, 3, FALSE), "Data Missing")</f>
        <v>travel</v>
      </c>
      <c r="K130" s="3" t="str">
        <f>IFERROR(VLOOKUP(C130, merchants!$A$1:$D$41, 4, FALSE), "Data Missing")</f>
        <v>South</v>
      </c>
      <c r="L130" s="7">
        <f>HLOOKUP(F130,payment_method!$A$1:$E$2,2,0)</f>
        <v>0</v>
      </c>
      <c r="M130" s="3" t="str">
        <f>IF(AND(E130&gt;5000, L130&lt;&gt;"East"), "High-Value Merchant Day", "Normal Day")</f>
        <v>Normal Day</v>
      </c>
    </row>
    <row r="131" spans="1:13" x14ac:dyDescent="0.3">
      <c r="A131" t="s">
        <v>144</v>
      </c>
      <c r="B131">
        <v>97</v>
      </c>
      <c r="C131">
        <v>16</v>
      </c>
      <c r="D131" s="1">
        <v>46052.454861111109</v>
      </c>
      <c r="E131">
        <v>799</v>
      </c>
      <c r="F131" t="s">
        <v>24</v>
      </c>
      <c r="G131" t="s">
        <v>10</v>
      </c>
      <c r="H131">
        <v>73</v>
      </c>
      <c r="I131" s="2">
        <f>VLOOKUP(B131,users!$A$1:$B$366,2,0)</f>
        <v>45679</v>
      </c>
      <c r="J131" s="3" t="str">
        <f>IFERROR(VLOOKUP(C131, merchants!$A$1:$D$41, 3, FALSE), "Data Missing")</f>
        <v>bill_payment</v>
      </c>
      <c r="K131" s="3" t="str">
        <f>IFERROR(VLOOKUP(C131, merchants!$A$1:$D$41, 4, FALSE), "Data Missing")</f>
        <v>West</v>
      </c>
      <c r="L131" s="7">
        <f>HLOOKUP(F131,payment_method!$A$1:$E$2,2,0)</f>
        <v>0.02</v>
      </c>
      <c r="M131" s="3" t="str">
        <f>IF(AND(E131&gt;5000, L131&lt;&gt;"East"), "High-Value Merchant Day", "Normal Day")</f>
        <v>Normal Day</v>
      </c>
    </row>
    <row r="132" spans="1:13" x14ac:dyDescent="0.3">
      <c r="A132" t="s">
        <v>145</v>
      </c>
      <c r="B132">
        <v>211</v>
      </c>
      <c r="C132">
        <v>3</v>
      </c>
      <c r="D132" s="1">
        <v>46035.32916666667</v>
      </c>
      <c r="E132">
        <v>149</v>
      </c>
      <c r="F132" t="s">
        <v>12</v>
      </c>
      <c r="G132" t="s">
        <v>38</v>
      </c>
      <c r="H132">
        <v>40</v>
      </c>
      <c r="I132" s="2">
        <f>VLOOKUP(B132,users!$A$1:$B$366,2,0)</f>
        <v>45594</v>
      </c>
      <c r="J132" s="3" t="str">
        <f>IFERROR(VLOOKUP(C132, merchants!$A$1:$D$41, 3, FALSE), "Data Missing")</f>
        <v>grocery</v>
      </c>
      <c r="K132" s="3" t="str">
        <f>IFERROR(VLOOKUP(C132, merchants!$A$1:$D$41, 4, FALSE), "Data Missing")</f>
        <v>East</v>
      </c>
      <c r="L132" s="7">
        <f>HLOOKUP(F132,payment_method!$A$1:$E$2,2,0)</f>
        <v>0</v>
      </c>
      <c r="M132" s="3" t="str">
        <f>IF(AND(E132&gt;5000, L132&lt;&gt;"East"), "High-Value Merchant Day", "Normal Day")</f>
        <v>Normal Day</v>
      </c>
    </row>
    <row r="133" spans="1:13" x14ac:dyDescent="0.3">
      <c r="A133" t="s">
        <v>146</v>
      </c>
      <c r="B133">
        <v>196</v>
      </c>
      <c r="C133">
        <v>25</v>
      </c>
      <c r="D133" s="1">
        <v>46046.65625</v>
      </c>
      <c r="E133">
        <v>149</v>
      </c>
      <c r="F133" t="s">
        <v>15</v>
      </c>
      <c r="G133" t="s">
        <v>10</v>
      </c>
      <c r="H133">
        <v>84</v>
      </c>
      <c r="I133" s="2">
        <f>VLOOKUP(B133,users!$A$1:$B$366,2,0)</f>
        <v>45326</v>
      </c>
      <c r="J133" s="3" t="str">
        <f>IFERROR(VLOOKUP(C133, merchants!$A$1:$D$41, 3, FALSE), "Data Missing")</f>
        <v>travel</v>
      </c>
      <c r="K133" s="3" t="str">
        <f>IFERROR(VLOOKUP(C133, merchants!$A$1:$D$41, 4, FALSE), "Data Missing")</f>
        <v>South</v>
      </c>
      <c r="L133" s="7">
        <f>HLOOKUP(F133,payment_method!$A$1:$E$2,2,0)</f>
        <v>1.4999999999999999E-2</v>
      </c>
      <c r="M133" s="3" t="str">
        <f>IF(AND(E133&gt;5000, L133&lt;&gt;"East"), "High-Value Merchant Day", "Normal Day")</f>
        <v>Normal Day</v>
      </c>
    </row>
    <row r="134" spans="1:13" x14ac:dyDescent="0.3">
      <c r="A134" t="s">
        <v>147</v>
      </c>
      <c r="B134">
        <v>254</v>
      </c>
      <c r="C134">
        <v>3</v>
      </c>
      <c r="D134" s="1">
        <v>46048.839583333334</v>
      </c>
      <c r="E134">
        <v>149</v>
      </c>
      <c r="F134" t="s">
        <v>24</v>
      </c>
      <c r="G134" t="s">
        <v>10</v>
      </c>
      <c r="H134">
        <v>16</v>
      </c>
      <c r="I134" s="2">
        <f>VLOOKUP(B134,users!$A$1:$B$366,2,0)</f>
        <v>45320</v>
      </c>
      <c r="J134" s="3" t="str">
        <f>IFERROR(VLOOKUP(C134, merchants!$A$1:$D$41, 3, FALSE), "Data Missing")</f>
        <v>grocery</v>
      </c>
      <c r="K134" s="3" t="str">
        <f>IFERROR(VLOOKUP(C134, merchants!$A$1:$D$41, 4, FALSE), "Data Missing")</f>
        <v>East</v>
      </c>
      <c r="L134" s="7">
        <f>HLOOKUP(F134,payment_method!$A$1:$E$2,2,0)</f>
        <v>0.02</v>
      </c>
      <c r="M134" s="3" t="str">
        <f>IF(AND(E134&gt;5000, L134&lt;&gt;"East"), "High-Value Merchant Day", "Normal Day")</f>
        <v>Normal Day</v>
      </c>
    </row>
    <row r="135" spans="1:13" x14ac:dyDescent="0.3">
      <c r="A135" t="s">
        <v>148</v>
      </c>
      <c r="B135">
        <v>52</v>
      </c>
      <c r="C135">
        <v>29</v>
      </c>
      <c r="D135" s="1">
        <v>46039.76458333333</v>
      </c>
      <c r="E135">
        <v>49</v>
      </c>
      <c r="F135" t="s">
        <v>15</v>
      </c>
      <c r="G135" t="s">
        <v>10</v>
      </c>
      <c r="H135">
        <v>12</v>
      </c>
      <c r="I135" s="2">
        <f>VLOOKUP(B135,users!$A$1:$B$366,2,0)</f>
        <v>45928</v>
      </c>
      <c r="J135" s="3" t="str">
        <f>IFERROR(VLOOKUP(C135, merchants!$A$1:$D$41, 3, FALSE), "Data Missing")</f>
        <v>ecommerce</v>
      </c>
      <c r="K135" s="3" t="str">
        <f>IFERROR(VLOOKUP(C135, merchants!$A$1:$D$41, 4, FALSE), "Data Missing")</f>
        <v>North</v>
      </c>
      <c r="L135" s="7">
        <f>HLOOKUP(F135,payment_method!$A$1:$E$2,2,0)</f>
        <v>1.4999999999999999E-2</v>
      </c>
      <c r="M135" s="3" t="str">
        <f>IF(AND(E135&gt;5000, L135&lt;&gt;"East"), "High-Value Merchant Day", "Normal Day")</f>
        <v>Normal Day</v>
      </c>
    </row>
    <row r="136" spans="1:13" x14ac:dyDescent="0.3">
      <c r="A136" t="s">
        <v>149</v>
      </c>
      <c r="B136">
        <v>74</v>
      </c>
      <c r="C136">
        <v>27</v>
      </c>
      <c r="D136" s="1">
        <v>46039.583333333336</v>
      </c>
      <c r="E136">
        <v>799</v>
      </c>
      <c r="F136" t="s">
        <v>12</v>
      </c>
      <c r="G136" t="s">
        <v>10</v>
      </c>
      <c r="H136">
        <v>83</v>
      </c>
      <c r="I136" s="2">
        <f>VLOOKUP(B136,users!$A$1:$B$366,2,0)</f>
        <v>45724</v>
      </c>
      <c r="J136" s="3" t="str">
        <f>IFERROR(VLOOKUP(C136, merchants!$A$1:$D$41, 3, FALSE), "Data Missing")</f>
        <v>ecommerce</v>
      </c>
      <c r="K136" s="3" t="str">
        <f>IFERROR(VLOOKUP(C136, merchants!$A$1:$D$41, 4, FALSE), "Data Missing")</f>
        <v>North</v>
      </c>
      <c r="L136" s="7">
        <f>HLOOKUP(F136,payment_method!$A$1:$E$2,2,0)</f>
        <v>0</v>
      </c>
      <c r="M136" s="3" t="str">
        <f>IF(AND(E136&gt;5000, L136&lt;&gt;"East"), "High-Value Merchant Day", "Normal Day")</f>
        <v>Normal Day</v>
      </c>
    </row>
    <row r="137" spans="1:13" x14ac:dyDescent="0.3">
      <c r="A137" t="s">
        <v>150</v>
      </c>
      <c r="B137">
        <v>136</v>
      </c>
      <c r="C137">
        <v>22</v>
      </c>
      <c r="D137" s="1">
        <v>46027.104166666664</v>
      </c>
      <c r="E137">
        <v>149</v>
      </c>
      <c r="F137" t="s">
        <v>12</v>
      </c>
      <c r="G137" t="s">
        <v>10</v>
      </c>
      <c r="H137">
        <v>79</v>
      </c>
      <c r="I137" s="2">
        <f>VLOOKUP(B137,users!$A$1:$B$366,2,0)</f>
        <v>45758</v>
      </c>
      <c r="J137" s="3" t="str">
        <f>IFERROR(VLOOKUP(C137, merchants!$A$1:$D$41, 3, FALSE), "Data Missing")</f>
        <v>travel</v>
      </c>
      <c r="K137" s="3" t="str">
        <f>IFERROR(VLOOKUP(C137, merchants!$A$1:$D$41, 4, FALSE), "Data Missing")</f>
        <v>South</v>
      </c>
      <c r="L137" s="7">
        <f>HLOOKUP(F137,payment_method!$A$1:$E$2,2,0)</f>
        <v>0</v>
      </c>
      <c r="M137" s="3" t="str">
        <f>IF(AND(E137&gt;5000, L137&lt;&gt;"East"), "High-Value Merchant Day", "Normal Day")</f>
        <v>Normal Day</v>
      </c>
    </row>
    <row r="138" spans="1:13" x14ac:dyDescent="0.3">
      <c r="A138" t="s">
        <v>151</v>
      </c>
      <c r="B138">
        <v>42</v>
      </c>
      <c r="C138">
        <v>22</v>
      </c>
      <c r="D138" s="1">
        <v>46045.52847222222</v>
      </c>
      <c r="E138">
        <v>49</v>
      </c>
      <c r="F138" t="s">
        <v>12</v>
      </c>
      <c r="G138" t="s">
        <v>10</v>
      </c>
      <c r="H138">
        <v>86</v>
      </c>
      <c r="I138" s="2">
        <f>VLOOKUP(B138,users!$A$1:$B$366,2,0)</f>
        <v>45488</v>
      </c>
      <c r="J138" s="3" t="str">
        <f>IFERROR(VLOOKUP(C138, merchants!$A$1:$D$41, 3, FALSE), "Data Missing")</f>
        <v>travel</v>
      </c>
      <c r="K138" s="3" t="str">
        <f>IFERROR(VLOOKUP(C138, merchants!$A$1:$D$41, 4, FALSE), "Data Missing")</f>
        <v>South</v>
      </c>
      <c r="L138" s="7">
        <f>HLOOKUP(F138,payment_method!$A$1:$E$2,2,0)</f>
        <v>0</v>
      </c>
      <c r="M138" s="3" t="str">
        <f>IF(AND(E138&gt;5000, L138&lt;&gt;"East"), "High-Value Merchant Day", "Normal Day")</f>
        <v>Normal Day</v>
      </c>
    </row>
    <row r="139" spans="1:13" x14ac:dyDescent="0.3">
      <c r="A139" t="s">
        <v>152</v>
      </c>
      <c r="B139">
        <v>163</v>
      </c>
      <c r="C139">
        <v>32</v>
      </c>
      <c r="D139" s="1">
        <v>46050.724999999999</v>
      </c>
      <c r="E139">
        <v>2999</v>
      </c>
      <c r="F139" t="s">
        <v>9</v>
      </c>
      <c r="G139" t="s">
        <v>25</v>
      </c>
      <c r="H139">
        <v>69</v>
      </c>
      <c r="I139" s="2">
        <f>VLOOKUP(B139,users!$A$1:$B$366,2,0)</f>
        <v>45897</v>
      </c>
      <c r="J139" s="3" t="str">
        <f>IFERROR(VLOOKUP(C139, merchants!$A$1:$D$41, 3, FALSE), "Data Missing")</f>
        <v>food_delivery</v>
      </c>
      <c r="K139" s="3" t="str">
        <f>IFERROR(VLOOKUP(C139, merchants!$A$1:$D$41, 4, FALSE), "Data Missing")</f>
        <v>West</v>
      </c>
      <c r="L139" s="7">
        <f>HLOOKUP(F139,payment_method!$A$1:$E$2,2,0)</f>
        <v>1.2E-2</v>
      </c>
      <c r="M139" s="3" t="str">
        <f>IF(AND(E139&gt;5000, L139&lt;&gt;"East"), "High-Value Merchant Day", "Normal Day")</f>
        <v>Normal Day</v>
      </c>
    </row>
    <row r="140" spans="1:13" x14ac:dyDescent="0.3">
      <c r="A140" t="s">
        <v>153</v>
      </c>
      <c r="B140">
        <v>121</v>
      </c>
      <c r="C140">
        <v>19</v>
      </c>
      <c r="D140" s="1">
        <v>46024.794444444444</v>
      </c>
      <c r="E140">
        <v>149</v>
      </c>
      <c r="F140" t="s">
        <v>12</v>
      </c>
      <c r="G140" t="s">
        <v>10</v>
      </c>
      <c r="H140">
        <v>29</v>
      </c>
      <c r="I140" s="2">
        <f>VLOOKUP(B140,users!$A$1:$B$366,2,0)</f>
        <v>45585</v>
      </c>
      <c r="J140" s="3" t="str">
        <f>IFERROR(VLOOKUP(C140, merchants!$A$1:$D$41, 3, FALSE), "Data Missing")</f>
        <v>grocery</v>
      </c>
      <c r="K140" s="3" t="str">
        <f>IFERROR(VLOOKUP(C140, merchants!$A$1:$D$41, 4, FALSE), "Data Missing")</f>
        <v>North</v>
      </c>
      <c r="L140" s="7">
        <f>HLOOKUP(F140,payment_method!$A$1:$E$2,2,0)</f>
        <v>0</v>
      </c>
      <c r="M140" s="3" t="str">
        <f>IF(AND(E140&gt;5000, L140&lt;&gt;"East"), "High-Value Merchant Day", "Normal Day")</f>
        <v>Normal Day</v>
      </c>
    </row>
    <row r="141" spans="1:13" x14ac:dyDescent="0.3">
      <c r="A141" t="s">
        <v>154</v>
      </c>
      <c r="B141">
        <v>51</v>
      </c>
      <c r="C141">
        <v>7</v>
      </c>
      <c r="D141" s="1">
        <v>46046.102083333331</v>
      </c>
      <c r="E141">
        <v>499</v>
      </c>
      <c r="F141" t="s">
        <v>24</v>
      </c>
      <c r="G141" t="s">
        <v>10</v>
      </c>
      <c r="H141">
        <v>56</v>
      </c>
      <c r="I141" s="2">
        <f>VLOOKUP(B141,users!$A$1:$B$366,2,0)</f>
        <v>45383</v>
      </c>
      <c r="J141" s="3" t="str">
        <f>IFERROR(VLOOKUP(C141, merchants!$A$1:$D$41, 3, FALSE), "Data Missing")</f>
        <v>food_delivery</v>
      </c>
      <c r="K141" s="3" t="str">
        <f>IFERROR(VLOOKUP(C141, merchants!$A$1:$D$41, 4, FALSE), "Data Missing")</f>
        <v>East</v>
      </c>
      <c r="L141" s="7">
        <f>HLOOKUP(F141,payment_method!$A$1:$E$2,2,0)</f>
        <v>0.02</v>
      </c>
      <c r="M141" s="3" t="str">
        <f>IF(AND(E141&gt;5000, L141&lt;&gt;"East"), "High-Value Merchant Day", "Normal Day")</f>
        <v>Normal Day</v>
      </c>
    </row>
    <row r="142" spans="1:13" x14ac:dyDescent="0.3">
      <c r="A142" t="s">
        <v>155</v>
      </c>
      <c r="B142">
        <v>15</v>
      </c>
      <c r="C142">
        <v>3</v>
      </c>
      <c r="D142" s="1">
        <v>46028.929861111108</v>
      </c>
      <c r="E142">
        <v>799</v>
      </c>
      <c r="F142" t="s">
        <v>12</v>
      </c>
      <c r="G142" t="s">
        <v>10</v>
      </c>
      <c r="H142">
        <v>41</v>
      </c>
      <c r="I142" s="2">
        <f>VLOOKUP(B142,users!$A$1:$B$366,2,0)</f>
        <v>45583</v>
      </c>
      <c r="J142" s="3" t="str">
        <f>IFERROR(VLOOKUP(C142, merchants!$A$1:$D$41, 3, FALSE), "Data Missing")</f>
        <v>grocery</v>
      </c>
      <c r="K142" s="3" t="str">
        <f>IFERROR(VLOOKUP(C142, merchants!$A$1:$D$41, 4, FALSE), "Data Missing")</f>
        <v>East</v>
      </c>
      <c r="L142" s="7">
        <f>HLOOKUP(F142,payment_method!$A$1:$E$2,2,0)</f>
        <v>0</v>
      </c>
      <c r="M142" s="3" t="str">
        <f>IF(AND(E142&gt;5000, L142&lt;&gt;"East"), "High-Value Merchant Day", "Normal Day")</f>
        <v>Normal Day</v>
      </c>
    </row>
    <row r="143" spans="1:13" x14ac:dyDescent="0.3">
      <c r="A143" t="s">
        <v>156</v>
      </c>
      <c r="B143">
        <v>184</v>
      </c>
      <c r="C143">
        <v>24</v>
      </c>
      <c r="D143" s="1">
        <v>46048.054166666669</v>
      </c>
      <c r="E143">
        <v>49</v>
      </c>
      <c r="F143" t="s">
        <v>12</v>
      </c>
      <c r="G143" t="s">
        <v>10</v>
      </c>
      <c r="H143">
        <v>55</v>
      </c>
      <c r="I143" s="2">
        <f>VLOOKUP(B143,users!$A$1:$B$366,2,0)</f>
        <v>45534</v>
      </c>
      <c r="J143" s="3" t="str">
        <f>IFERROR(VLOOKUP(C143, merchants!$A$1:$D$41, 3, FALSE), "Data Missing")</f>
        <v>grocery</v>
      </c>
      <c r="K143" s="3" t="str">
        <f>IFERROR(VLOOKUP(C143, merchants!$A$1:$D$41, 4, FALSE), "Data Missing")</f>
        <v>North</v>
      </c>
      <c r="L143" s="7">
        <f>HLOOKUP(F143,payment_method!$A$1:$E$2,2,0)</f>
        <v>0</v>
      </c>
      <c r="M143" s="3" t="str">
        <f>IF(AND(E143&gt;5000, L143&lt;&gt;"East"), "High-Value Merchant Day", "Normal Day")</f>
        <v>Normal Day</v>
      </c>
    </row>
    <row r="144" spans="1:13" x14ac:dyDescent="0.3">
      <c r="A144" t="s">
        <v>157</v>
      </c>
      <c r="B144">
        <v>211</v>
      </c>
      <c r="C144">
        <v>37</v>
      </c>
      <c r="D144" s="1">
        <v>46027.314583333333</v>
      </c>
      <c r="E144">
        <v>1499</v>
      </c>
      <c r="F144" t="s">
        <v>12</v>
      </c>
      <c r="G144" t="s">
        <v>10</v>
      </c>
      <c r="H144">
        <v>87</v>
      </c>
      <c r="I144" s="2">
        <f>VLOOKUP(B144,users!$A$1:$B$366,2,0)</f>
        <v>45594</v>
      </c>
      <c r="J144" s="3" t="str">
        <f>IFERROR(VLOOKUP(C144, merchants!$A$1:$D$41, 3, FALSE), "Data Missing")</f>
        <v>entertainment</v>
      </c>
      <c r="K144" s="3" t="str">
        <f>IFERROR(VLOOKUP(C144, merchants!$A$1:$D$41, 4, FALSE), "Data Missing")</f>
        <v>South</v>
      </c>
      <c r="L144" s="7">
        <f>HLOOKUP(F144,payment_method!$A$1:$E$2,2,0)</f>
        <v>0</v>
      </c>
      <c r="M144" s="3" t="str">
        <f>IF(AND(E144&gt;5000, L144&lt;&gt;"East"), "High-Value Merchant Day", "Normal Day")</f>
        <v>Normal Day</v>
      </c>
    </row>
    <row r="145" spans="1:13" x14ac:dyDescent="0.3">
      <c r="A145" t="s">
        <v>158</v>
      </c>
      <c r="B145">
        <v>90</v>
      </c>
      <c r="C145">
        <v>6</v>
      </c>
      <c r="D145" s="1">
        <v>46048.215277777781</v>
      </c>
      <c r="E145">
        <v>49</v>
      </c>
      <c r="F145" t="s">
        <v>24</v>
      </c>
      <c r="G145" t="s">
        <v>10</v>
      </c>
      <c r="H145">
        <v>78</v>
      </c>
      <c r="I145" s="2">
        <f>VLOOKUP(B145,users!$A$1:$B$366,2,0)</f>
        <v>45993</v>
      </c>
      <c r="J145" s="3" t="str">
        <f>IFERROR(VLOOKUP(C145, merchants!$A$1:$D$41, 3, FALSE), "Data Missing")</f>
        <v>food_delivery</v>
      </c>
      <c r="K145" s="3" t="str">
        <f>IFERROR(VLOOKUP(C145, merchants!$A$1:$D$41, 4, FALSE), "Data Missing")</f>
        <v>South</v>
      </c>
      <c r="L145" s="7">
        <f>HLOOKUP(F145,payment_method!$A$1:$E$2,2,0)</f>
        <v>0.02</v>
      </c>
      <c r="M145" s="3" t="str">
        <f>IF(AND(E145&gt;5000, L145&lt;&gt;"East"), "High-Value Merchant Day", "Normal Day")</f>
        <v>Normal Day</v>
      </c>
    </row>
    <row r="146" spans="1:13" x14ac:dyDescent="0.3">
      <c r="A146" t="s">
        <v>159</v>
      </c>
      <c r="B146">
        <v>350</v>
      </c>
      <c r="C146">
        <v>16</v>
      </c>
      <c r="D146" s="1">
        <v>46050.527083333334</v>
      </c>
      <c r="E146">
        <v>49</v>
      </c>
      <c r="F146" t="s">
        <v>12</v>
      </c>
      <c r="G146" t="s">
        <v>10</v>
      </c>
      <c r="H146">
        <v>63</v>
      </c>
      <c r="I146" s="2">
        <f>VLOOKUP(B146,users!$A$1:$B$366,2,0)</f>
        <v>45953</v>
      </c>
      <c r="J146" s="3" t="str">
        <f>IFERROR(VLOOKUP(C146, merchants!$A$1:$D$41, 3, FALSE), "Data Missing")</f>
        <v>bill_payment</v>
      </c>
      <c r="K146" s="3" t="str">
        <f>IFERROR(VLOOKUP(C146, merchants!$A$1:$D$41, 4, FALSE), "Data Missing")</f>
        <v>West</v>
      </c>
      <c r="L146" s="7">
        <f>HLOOKUP(F146,payment_method!$A$1:$E$2,2,0)</f>
        <v>0</v>
      </c>
      <c r="M146" s="3" t="str">
        <f>IF(AND(E146&gt;5000, L146&lt;&gt;"East"), "High-Value Merchant Day", "Normal Day")</f>
        <v>Normal Day</v>
      </c>
    </row>
    <row r="147" spans="1:13" x14ac:dyDescent="0.3">
      <c r="A147" t="s">
        <v>160</v>
      </c>
      <c r="B147">
        <v>119</v>
      </c>
      <c r="C147">
        <v>30</v>
      </c>
      <c r="D147" s="1">
        <v>46052.756249999999</v>
      </c>
      <c r="E147">
        <v>49</v>
      </c>
      <c r="F147" t="s">
        <v>24</v>
      </c>
      <c r="G147" t="s">
        <v>10</v>
      </c>
      <c r="H147">
        <v>81</v>
      </c>
      <c r="I147" s="2">
        <f>VLOOKUP(B147,users!$A$1:$B$366,2,0)</f>
        <v>45788</v>
      </c>
      <c r="J147" s="3" t="str">
        <f>IFERROR(VLOOKUP(C147, merchants!$A$1:$D$41, 3, FALSE), "Data Missing")</f>
        <v>travel</v>
      </c>
      <c r="K147" s="3" t="str">
        <f>IFERROR(VLOOKUP(C147, merchants!$A$1:$D$41, 4, FALSE), "Data Missing")</f>
        <v>West</v>
      </c>
      <c r="L147" s="7">
        <f>HLOOKUP(F147,payment_method!$A$1:$E$2,2,0)</f>
        <v>0.02</v>
      </c>
      <c r="M147" s="3" t="str">
        <f>IF(AND(E147&gt;5000, L147&lt;&gt;"East"), "High-Value Merchant Day", "Normal Day")</f>
        <v>Normal Day</v>
      </c>
    </row>
    <row r="148" spans="1:13" x14ac:dyDescent="0.3">
      <c r="A148" t="s">
        <v>161</v>
      </c>
      <c r="B148">
        <v>342</v>
      </c>
      <c r="C148">
        <v>1</v>
      </c>
      <c r="D148" s="1">
        <v>46031.594444444447</v>
      </c>
      <c r="E148">
        <v>49</v>
      </c>
      <c r="F148" t="s">
        <v>12</v>
      </c>
      <c r="G148" t="s">
        <v>10</v>
      </c>
      <c r="H148">
        <v>59</v>
      </c>
      <c r="I148" s="2">
        <f>VLOOKUP(B148,users!$A$1:$B$366,2,0)</f>
        <v>45397</v>
      </c>
      <c r="J148" s="3" t="str">
        <f>IFERROR(VLOOKUP(C148, merchants!$A$1:$D$41, 3, FALSE), "Data Missing")</f>
        <v>ecommerce</v>
      </c>
      <c r="K148" s="3" t="str">
        <f>IFERROR(VLOOKUP(C148, merchants!$A$1:$D$41, 4, FALSE), "Data Missing")</f>
        <v>South</v>
      </c>
      <c r="L148" s="7">
        <f>HLOOKUP(F148,payment_method!$A$1:$E$2,2,0)</f>
        <v>0</v>
      </c>
      <c r="M148" s="3" t="str">
        <f>IF(AND(E148&gt;5000, L148&lt;&gt;"East"), "High-Value Merchant Day", "Normal Day")</f>
        <v>Normal Day</v>
      </c>
    </row>
    <row r="149" spans="1:13" x14ac:dyDescent="0.3">
      <c r="A149" t="s">
        <v>162</v>
      </c>
      <c r="B149">
        <v>280</v>
      </c>
      <c r="C149">
        <v>11</v>
      </c>
      <c r="D149" s="1">
        <v>46051.404861111114</v>
      </c>
      <c r="E149">
        <v>149</v>
      </c>
      <c r="F149" t="s">
        <v>12</v>
      </c>
      <c r="G149" t="s">
        <v>38</v>
      </c>
      <c r="H149">
        <v>9</v>
      </c>
      <c r="I149" s="2">
        <f>VLOOKUP(B149,users!$A$1:$B$366,2,0)</f>
        <v>45775</v>
      </c>
      <c r="J149" s="3" t="str">
        <f>IFERROR(VLOOKUP(C149, merchants!$A$1:$D$41, 3, FALSE), "Data Missing")</f>
        <v>ecommerce</v>
      </c>
      <c r="K149" s="3" t="str">
        <f>IFERROR(VLOOKUP(C149, merchants!$A$1:$D$41, 4, FALSE), "Data Missing")</f>
        <v>North</v>
      </c>
      <c r="L149" s="7">
        <f>HLOOKUP(F149,payment_method!$A$1:$E$2,2,0)</f>
        <v>0</v>
      </c>
      <c r="M149" s="3" t="str">
        <f>IF(AND(E149&gt;5000, L149&lt;&gt;"East"), "High-Value Merchant Day", "Normal Day")</f>
        <v>Normal Day</v>
      </c>
    </row>
    <row r="150" spans="1:13" x14ac:dyDescent="0.3">
      <c r="A150" t="s">
        <v>163</v>
      </c>
      <c r="B150">
        <v>154</v>
      </c>
      <c r="C150">
        <v>28</v>
      </c>
      <c r="D150" s="1">
        <v>46037.484027777777</v>
      </c>
      <c r="E150">
        <v>2999</v>
      </c>
      <c r="F150" t="s">
        <v>15</v>
      </c>
      <c r="G150" t="s">
        <v>10</v>
      </c>
      <c r="H150">
        <v>88</v>
      </c>
      <c r="I150" s="2">
        <f>VLOOKUP(B150,users!$A$1:$B$366,2,0)</f>
        <v>45441</v>
      </c>
      <c r="J150" s="3" t="str">
        <f>IFERROR(VLOOKUP(C150, merchants!$A$1:$D$41, 3, FALSE), "Data Missing")</f>
        <v>ecommerce</v>
      </c>
      <c r="K150" s="3" t="str">
        <f>IFERROR(VLOOKUP(C150, merchants!$A$1:$D$41, 4, FALSE), "Data Missing")</f>
        <v>South</v>
      </c>
      <c r="L150" s="7">
        <f>HLOOKUP(F150,payment_method!$A$1:$E$2,2,0)</f>
        <v>1.4999999999999999E-2</v>
      </c>
      <c r="M150" s="3" t="str">
        <f>IF(AND(E150&gt;5000, L150&lt;&gt;"East"), "High-Value Merchant Day", "Normal Day")</f>
        <v>Normal Day</v>
      </c>
    </row>
    <row r="151" spans="1:13" x14ac:dyDescent="0.3">
      <c r="A151" t="s">
        <v>164</v>
      </c>
      <c r="B151">
        <v>155</v>
      </c>
      <c r="C151">
        <v>13</v>
      </c>
      <c r="D151" s="1">
        <v>46031.620833333334</v>
      </c>
      <c r="E151">
        <v>149</v>
      </c>
      <c r="F151" t="s">
        <v>12</v>
      </c>
      <c r="G151" t="s">
        <v>10</v>
      </c>
      <c r="H151">
        <v>49</v>
      </c>
      <c r="I151" s="2">
        <f>VLOOKUP(B151,users!$A$1:$B$366,2,0)</f>
        <v>45858</v>
      </c>
      <c r="J151" s="3" t="str">
        <f>IFERROR(VLOOKUP(C151, merchants!$A$1:$D$41, 3, FALSE), "Data Missing")</f>
        <v>travel</v>
      </c>
      <c r="K151" s="3" t="str">
        <f>IFERROR(VLOOKUP(C151, merchants!$A$1:$D$41, 4, FALSE), "Data Missing")</f>
        <v>East</v>
      </c>
      <c r="L151" s="7">
        <f>HLOOKUP(F151,payment_method!$A$1:$E$2,2,0)</f>
        <v>0</v>
      </c>
      <c r="M151" s="3" t="str">
        <f>IF(AND(E151&gt;5000, L151&lt;&gt;"East"), "High-Value Merchant Day", "Normal Day")</f>
        <v>Normal Day</v>
      </c>
    </row>
    <row r="152" spans="1:13" x14ac:dyDescent="0.3">
      <c r="A152" t="s">
        <v>165</v>
      </c>
      <c r="B152">
        <v>122</v>
      </c>
      <c r="C152">
        <v>25</v>
      </c>
      <c r="D152" s="1">
        <v>46050.629166666666</v>
      </c>
      <c r="E152">
        <v>299</v>
      </c>
      <c r="F152" t="s">
        <v>12</v>
      </c>
      <c r="G152" t="s">
        <v>10</v>
      </c>
      <c r="H152">
        <v>73</v>
      </c>
      <c r="I152" s="2">
        <f>VLOOKUP(B152,users!$A$1:$B$366,2,0)</f>
        <v>45306</v>
      </c>
      <c r="J152" s="3" t="str">
        <f>IFERROR(VLOOKUP(C152, merchants!$A$1:$D$41, 3, FALSE), "Data Missing")</f>
        <v>travel</v>
      </c>
      <c r="K152" s="3" t="str">
        <f>IFERROR(VLOOKUP(C152, merchants!$A$1:$D$41, 4, FALSE), "Data Missing")</f>
        <v>South</v>
      </c>
      <c r="L152" s="7">
        <f>HLOOKUP(F152,payment_method!$A$1:$E$2,2,0)</f>
        <v>0</v>
      </c>
      <c r="M152" s="3" t="str">
        <f>IF(AND(E152&gt;5000, L152&lt;&gt;"East"), "High-Value Merchant Day", "Normal Day")</f>
        <v>Normal Day</v>
      </c>
    </row>
    <row r="153" spans="1:13" x14ac:dyDescent="0.3">
      <c r="A153" t="s">
        <v>166</v>
      </c>
      <c r="B153">
        <v>152</v>
      </c>
      <c r="C153">
        <v>2</v>
      </c>
      <c r="D153" s="1">
        <v>46034.762499999997</v>
      </c>
      <c r="E153">
        <v>49</v>
      </c>
      <c r="F153" t="s">
        <v>12</v>
      </c>
      <c r="G153" t="s">
        <v>10</v>
      </c>
      <c r="H153">
        <v>84</v>
      </c>
      <c r="I153" s="2">
        <f>VLOOKUP(B153,users!$A$1:$B$366,2,0)</f>
        <v>45496</v>
      </c>
      <c r="J153" s="3" t="str">
        <f>IFERROR(VLOOKUP(C153, merchants!$A$1:$D$41, 3, FALSE), "Data Missing")</f>
        <v>grocery</v>
      </c>
      <c r="K153" s="3" t="str">
        <f>IFERROR(VLOOKUP(C153, merchants!$A$1:$D$41, 4, FALSE), "Data Missing")</f>
        <v>West</v>
      </c>
      <c r="L153" s="7">
        <f>HLOOKUP(F153,payment_method!$A$1:$E$2,2,0)</f>
        <v>0</v>
      </c>
      <c r="M153" s="3" t="str">
        <f>IF(AND(E153&gt;5000, L153&lt;&gt;"East"), "High-Value Merchant Day", "Normal Day")</f>
        <v>Normal Day</v>
      </c>
    </row>
    <row r="154" spans="1:13" x14ac:dyDescent="0.3">
      <c r="A154" t="s">
        <v>167</v>
      </c>
      <c r="B154">
        <v>290</v>
      </c>
      <c r="C154">
        <v>4</v>
      </c>
      <c r="D154" s="1">
        <v>46035.333333333336</v>
      </c>
      <c r="E154">
        <v>149</v>
      </c>
      <c r="F154" t="s">
        <v>12</v>
      </c>
      <c r="G154" t="s">
        <v>10</v>
      </c>
      <c r="H154">
        <v>77</v>
      </c>
      <c r="I154" s="2">
        <f>VLOOKUP(B154,users!$A$1:$B$366,2,0)</f>
        <v>45545</v>
      </c>
      <c r="J154" s="3" t="str">
        <f>IFERROR(VLOOKUP(C154, merchants!$A$1:$D$41, 3, FALSE), "Data Missing")</f>
        <v>ecommerce</v>
      </c>
      <c r="K154" s="3" t="str">
        <f>IFERROR(VLOOKUP(C154, merchants!$A$1:$D$41, 4, FALSE), "Data Missing")</f>
        <v>East</v>
      </c>
      <c r="L154" s="7">
        <f>HLOOKUP(F154,payment_method!$A$1:$E$2,2,0)</f>
        <v>0</v>
      </c>
      <c r="M154" s="3" t="str">
        <f>IF(AND(E154&gt;5000, L154&lt;&gt;"East"), "High-Value Merchant Day", "Normal Day")</f>
        <v>Normal Day</v>
      </c>
    </row>
    <row r="155" spans="1:13" x14ac:dyDescent="0.3">
      <c r="A155" t="s">
        <v>168</v>
      </c>
      <c r="B155">
        <v>147</v>
      </c>
      <c r="C155">
        <v>15</v>
      </c>
      <c r="D155" s="1">
        <v>46046.661805555559</v>
      </c>
      <c r="E155">
        <v>49</v>
      </c>
      <c r="F155" t="s">
        <v>9</v>
      </c>
      <c r="G155" t="s">
        <v>10</v>
      </c>
      <c r="H155">
        <v>77</v>
      </c>
      <c r="I155" s="2">
        <f>VLOOKUP(B155,users!$A$1:$B$366,2,0)</f>
        <v>45921</v>
      </c>
      <c r="J155" s="3" t="str">
        <f>IFERROR(VLOOKUP(C155, merchants!$A$1:$D$41, 3, FALSE), "Data Missing")</f>
        <v>travel</v>
      </c>
      <c r="K155" s="3" t="str">
        <f>IFERROR(VLOOKUP(C155, merchants!$A$1:$D$41, 4, FALSE), "Data Missing")</f>
        <v>North</v>
      </c>
      <c r="L155" s="7">
        <f>HLOOKUP(F155,payment_method!$A$1:$E$2,2,0)</f>
        <v>1.2E-2</v>
      </c>
      <c r="M155" s="3" t="str">
        <f>IF(AND(E155&gt;5000, L155&lt;&gt;"East"), "High-Value Merchant Day", "Normal Day")</f>
        <v>Normal Day</v>
      </c>
    </row>
    <row r="156" spans="1:13" x14ac:dyDescent="0.3">
      <c r="A156" t="s">
        <v>169</v>
      </c>
      <c r="B156">
        <v>326</v>
      </c>
      <c r="C156">
        <v>13</v>
      </c>
      <c r="D156" s="1">
        <v>46048.468055555553</v>
      </c>
      <c r="E156">
        <v>299</v>
      </c>
      <c r="F156" t="s">
        <v>15</v>
      </c>
      <c r="G156" t="s">
        <v>10</v>
      </c>
      <c r="H156">
        <v>79</v>
      </c>
      <c r="I156" s="2">
        <f>VLOOKUP(B156,users!$A$1:$B$366,2,0)</f>
        <v>45652</v>
      </c>
      <c r="J156" s="3" t="str">
        <f>IFERROR(VLOOKUP(C156, merchants!$A$1:$D$41, 3, FALSE), "Data Missing")</f>
        <v>travel</v>
      </c>
      <c r="K156" s="3" t="str">
        <f>IFERROR(VLOOKUP(C156, merchants!$A$1:$D$41, 4, FALSE), "Data Missing")</f>
        <v>East</v>
      </c>
      <c r="L156" s="7">
        <f>HLOOKUP(F156,payment_method!$A$1:$E$2,2,0)</f>
        <v>1.4999999999999999E-2</v>
      </c>
      <c r="M156" s="3" t="str">
        <f>IF(AND(E156&gt;5000, L156&lt;&gt;"East"), "High-Value Merchant Day", "Normal Day")</f>
        <v>Normal Day</v>
      </c>
    </row>
    <row r="157" spans="1:13" x14ac:dyDescent="0.3">
      <c r="A157" t="s">
        <v>170</v>
      </c>
      <c r="B157">
        <v>338</v>
      </c>
      <c r="C157">
        <v>9</v>
      </c>
      <c r="D157" s="1">
        <v>46031.908333333333</v>
      </c>
      <c r="E157">
        <v>99</v>
      </c>
      <c r="F157" t="s">
        <v>24</v>
      </c>
      <c r="G157" t="s">
        <v>10</v>
      </c>
      <c r="H157">
        <v>80</v>
      </c>
      <c r="I157" s="2">
        <f>VLOOKUP(B157,users!$A$1:$B$366,2,0)</f>
        <v>45841</v>
      </c>
      <c r="J157" s="3" t="str">
        <f>IFERROR(VLOOKUP(C157, merchants!$A$1:$D$41, 3, FALSE), "Data Missing")</f>
        <v>ecommerce</v>
      </c>
      <c r="K157" s="3" t="str">
        <f>IFERROR(VLOOKUP(C157, merchants!$A$1:$D$41, 4, FALSE), "Data Missing")</f>
        <v>North</v>
      </c>
      <c r="L157" s="7">
        <f>HLOOKUP(F157,payment_method!$A$1:$E$2,2,0)</f>
        <v>0.02</v>
      </c>
      <c r="M157" s="3" t="str">
        <f>IF(AND(E157&gt;5000, L157&lt;&gt;"East"), "High-Value Merchant Day", "Normal Day")</f>
        <v>Normal Day</v>
      </c>
    </row>
    <row r="158" spans="1:13" x14ac:dyDescent="0.3">
      <c r="A158" t="s">
        <v>171</v>
      </c>
      <c r="B158">
        <v>21</v>
      </c>
      <c r="C158">
        <v>20</v>
      </c>
      <c r="D158" s="1">
        <v>46026.861805555556</v>
      </c>
      <c r="E158">
        <v>2999</v>
      </c>
      <c r="F158" t="s">
        <v>12</v>
      </c>
      <c r="G158" t="s">
        <v>10</v>
      </c>
      <c r="H158">
        <v>100</v>
      </c>
      <c r="I158" s="2">
        <f>VLOOKUP(B158,users!$A$1:$B$366,2,0)</f>
        <v>45776</v>
      </c>
      <c r="J158" s="3" t="str">
        <f>IFERROR(VLOOKUP(C158, merchants!$A$1:$D$41, 3, FALSE), "Data Missing")</f>
        <v>food_delivery</v>
      </c>
      <c r="K158" s="3" t="str">
        <f>IFERROR(VLOOKUP(C158, merchants!$A$1:$D$41, 4, FALSE), "Data Missing")</f>
        <v>East</v>
      </c>
      <c r="L158" s="7">
        <f>HLOOKUP(F158,payment_method!$A$1:$E$2,2,0)</f>
        <v>0</v>
      </c>
      <c r="M158" s="3" t="str">
        <f>IF(AND(E158&gt;5000, L158&lt;&gt;"East"), "High-Value Merchant Day", "Normal Day")</f>
        <v>Normal Day</v>
      </c>
    </row>
    <row r="159" spans="1:13" x14ac:dyDescent="0.3">
      <c r="A159" t="s">
        <v>172</v>
      </c>
      <c r="B159">
        <v>187</v>
      </c>
      <c r="C159">
        <v>9</v>
      </c>
      <c r="D159" s="1">
        <v>46037.067361111112</v>
      </c>
      <c r="E159">
        <v>49</v>
      </c>
      <c r="F159" t="s">
        <v>24</v>
      </c>
      <c r="G159" t="s">
        <v>25</v>
      </c>
      <c r="H159">
        <v>11</v>
      </c>
      <c r="I159" s="2">
        <f>VLOOKUP(B159,users!$A$1:$B$366,2,0)</f>
        <v>45806</v>
      </c>
      <c r="J159" s="3" t="str">
        <f>IFERROR(VLOOKUP(C159, merchants!$A$1:$D$41, 3, FALSE), "Data Missing")</f>
        <v>ecommerce</v>
      </c>
      <c r="K159" s="3" t="str">
        <f>IFERROR(VLOOKUP(C159, merchants!$A$1:$D$41, 4, FALSE), "Data Missing")</f>
        <v>North</v>
      </c>
      <c r="L159" s="7">
        <f>HLOOKUP(F159,payment_method!$A$1:$E$2,2,0)</f>
        <v>0.02</v>
      </c>
      <c r="M159" s="3" t="str">
        <f>IF(AND(E159&gt;5000, L159&lt;&gt;"East"), "High-Value Merchant Day", "Normal Day")</f>
        <v>Normal Day</v>
      </c>
    </row>
    <row r="160" spans="1:13" x14ac:dyDescent="0.3">
      <c r="A160" t="s">
        <v>173</v>
      </c>
      <c r="B160">
        <v>213</v>
      </c>
      <c r="C160">
        <v>12</v>
      </c>
      <c r="D160" s="1">
        <v>46052.388888888891</v>
      </c>
      <c r="E160">
        <v>4999</v>
      </c>
      <c r="F160" t="s">
        <v>12</v>
      </c>
      <c r="G160" t="s">
        <v>10</v>
      </c>
      <c r="H160">
        <v>25</v>
      </c>
      <c r="I160" s="2">
        <f>VLOOKUP(B160,users!$A$1:$B$366,2,0)</f>
        <v>45528</v>
      </c>
      <c r="J160" s="3" t="str">
        <f>IFERROR(VLOOKUP(C160, merchants!$A$1:$D$41, 3, FALSE), "Data Missing")</f>
        <v>ecommerce</v>
      </c>
      <c r="K160" s="3" t="str">
        <f>IFERROR(VLOOKUP(C160, merchants!$A$1:$D$41, 4, FALSE), "Data Missing")</f>
        <v>East</v>
      </c>
      <c r="L160" s="7">
        <f>HLOOKUP(F160,payment_method!$A$1:$E$2,2,0)</f>
        <v>0</v>
      </c>
      <c r="M160" s="3" t="str">
        <f>IF(AND(E160&gt;5000, L160&lt;&gt;"East"), "High-Value Merchant Day", "Normal Day")</f>
        <v>Normal Day</v>
      </c>
    </row>
    <row r="161" spans="1:13" x14ac:dyDescent="0.3">
      <c r="A161" t="s">
        <v>174</v>
      </c>
      <c r="B161">
        <v>188</v>
      </c>
      <c r="C161">
        <v>34</v>
      </c>
      <c r="D161" s="1">
        <v>46027.74722222222</v>
      </c>
      <c r="E161">
        <v>2999</v>
      </c>
      <c r="F161" t="s">
        <v>12</v>
      </c>
      <c r="G161" t="s">
        <v>10</v>
      </c>
      <c r="H161">
        <v>64</v>
      </c>
      <c r="I161" s="2">
        <f>VLOOKUP(B161,users!$A$1:$B$366,2,0)</f>
        <v>45708</v>
      </c>
      <c r="J161" s="3" t="str">
        <f>IFERROR(VLOOKUP(C161, merchants!$A$1:$D$41, 3, FALSE), "Data Missing")</f>
        <v>travel</v>
      </c>
      <c r="K161" s="3" t="str">
        <f>IFERROR(VLOOKUP(C161, merchants!$A$1:$D$41, 4, FALSE), "Data Missing")</f>
        <v>South</v>
      </c>
      <c r="L161" s="7">
        <f>HLOOKUP(F161,payment_method!$A$1:$E$2,2,0)</f>
        <v>0</v>
      </c>
      <c r="M161" s="3" t="str">
        <f>IF(AND(E161&gt;5000, L161&lt;&gt;"East"), "High-Value Merchant Day", "Normal Day")</f>
        <v>Normal Day</v>
      </c>
    </row>
    <row r="162" spans="1:13" x14ac:dyDescent="0.3">
      <c r="A162" t="s">
        <v>175</v>
      </c>
      <c r="B162">
        <v>85</v>
      </c>
      <c r="C162">
        <v>17</v>
      </c>
      <c r="D162" s="1">
        <v>46052.370138888888</v>
      </c>
      <c r="E162">
        <v>499</v>
      </c>
      <c r="F162" t="s">
        <v>12</v>
      </c>
      <c r="G162" t="s">
        <v>10</v>
      </c>
      <c r="H162">
        <v>61</v>
      </c>
      <c r="I162" s="2">
        <f>VLOOKUP(B162,users!$A$1:$B$366,2,0)</f>
        <v>45837</v>
      </c>
      <c r="J162" s="3" t="str">
        <f>IFERROR(VLOOKUP(C162, merchants!$A$1:$D$41, 3, FALSE), "Data Missing")</f>
        <v>grocery</v>
      </c>
      <c r="K162" s="3" t="str">
        <f>IFERROR(VLOOKUP(C162, merchants!$A$1:$D$41, 4, FALSE), "Data Missing")</f>
        <v>North</v>
      </c>
      <c r="L162" s="7">
        <f>HLOOKUP(F162,payment_method!$A$1:$E$2,2,0)</f>
        <v>0</v>
      </c>
      <c r="M162" s="3" t="str">
        <f>IF(AND(E162&gt;5000, L162&lt;&gt;"East"), "High-Value Merchant Day", "Normal Day")</f>
        <v>Normal Day</v>
      </c>
    </row>
    <row r="163" spans="1:13" x14ac:dyDescent="0.3">
      <c r="A163" t="s">
        <v>176</v>
      </c>
      <c r="B163">
        <v>174</v>
      </c>
      <c r="C163">
        <v>8</v>
      </c>
      <c r="D163" s="1">
        <v>46048.407638888886</v>
      </c>
      <c r="E163">
        <v>299</v>
      </c>
      <c r="F163" t="s">
        <v>15</v>
      </c>
      <c r="G163" t="s">
        <v>10</v>
      </c>
      <c r="H163">
        <v>59</v>
      </c>
      <c r="I163" s="2">
        <f>VLOOKUP(B163,users!$A$1:$B$366,2,0)</f>
        <v>45332</v>
      </c>
      <c r="J163" s="3" t="str">
        <f>IFERROR(VLOOKUP(C163, merchants!$A$1:$D$41, 3, FALSE), "Data Missing")</f>
        <v>food_delivery</v>
      </c>
      <c r="K163" s="3" t="str">
        <f>IFERROR(VLOOKUP(C163, merchants!$A$1:$D$41, 4, FALSE), "Data Missing")</f>
        <v>North</v>
      </c>
      <c r="L163" s="7">
        <f>HLOOKUP(F163,payment_method!$A$1:$E$2,2,0)</f>
        <v>1.4999999999999999E-2</v>
      </c>
      <c r="M163" s="3" t="str">
        <f>IF(AND(E163&gt;5000, L163&lt;&gt;"East"), "High-Value Merchant Day", "Normal Day")</f>
        <v>Normal Day</v>
      </c>
    </row>
    <row r="164" spans="1:13" x14ac:dyDescent="0.3">
      <c r="A164" t="s">
        <v>177</v>
      </c>
      <c r="B164">
        <v>116</v>
      </c>
      <c r="C164">
        <v>26</v>
      </c>
      <c r="D164" s="1">
        <v>46025.2</v>
      </c>
      <c r="E164">
        <v>99</v>
      </c>
      <c r="F164" t="s">
        <v>15</v>
      </c>
      <c r="G164" t="s">
        <v>10</v>
      </c>
      <c r="H164">
        <v>71</v>
      </c>
      <c r="I164" s="2">
        <f>VLOOKUP(B164,users!$A$1:$B$366,2,0)</f>
        <v>45560</v>
      </c>
      <c r="J164" s="3" t="str">
        <f>IFERROR(VLOOKUP(C164, merchants!$A$1:$D$41, 3, FALSE), "Data Missing")</f>
        <v>food_delivery</v>
      </c>
      <c r="K164" s="3" t="str">
        <f>IFERROR(VLOOKUP(C164, merchants!$A$1:$D$41, 4, FALSE), "Data Missing")</f>
        <v>East</v>
      </c>
      <c r="L164" s="7">
        <f>HLOOKUP(F164,payment_method!$A$1:$E$2,2,0)</f>
        <v>1.4999999999999999E-2</v>
      </c>
      <c r="M164" s="3" t="str">
        <f>IF(AND(E164&gt;5000, L164&lt;&gt;"East"), "High-Value Merchant Day", "Normal Day")</f>
        <v>Normal Day</v>
      </c>
    </row>
    <row r="165" spans="1:13" x14ac:dyDescent="0.3">
      <c r="A165" t="s">
        <v>178</v>
      </c>
      <c r="B165">
        <v>203</v>
      </c>
      <c r="C165">
        <v>1</v>
      </c>
      <c r="D165" s="1">
        <v>46034.118055555555</v>
      </c>
      <c r="E165">
        <v>149</v>
      </c>
      <c r="F165" t="s">
        <v>9</v>
      </c>
      <c r="G165" t="s">
        <v>10</v>
      </c>
      <c r="H165">
        <v>33</v>
      </c>
      <c r="I165" s="2">
        <f>VLOOKUP(B165,users!$A$1:$B$366,2,0)</f>
        <v>45496</v>
      </c>
      <c r="J165" s="3" t="str">
        <f>IFERROR(VLOOKUP(C165, merchants!$A$1:$D$41, 3, FALSE), "Data Missing")</f>
        <v>ecommerce</v>
      </c>
      <c r="K165" s="3" t="str">
        <f>IFERROR(VLOOKUP(C165, merchants!$A$1:$D$41, 4, FALSE), "Data Missing")</f>
        <v>South</v>
      </c>
      <c r="L165" s="7">
        <f>HLOOKUP(F165,payment_method!$A$1:$E$2,2,0)</f>
        <v>1.2E-2</v>
      </c>
      <c r="M165" s="3" t="str">
        <f>IF(AND(E165&gt;5000, L165&lt;&gt;"East"), "High-Value Merchant Day", "Normal Day")</f>
        <v>Normal Day</v>
      </c>
    </row>
    <row r="166" spans="1:13" x14ac:dyDescent="0.3">
      <c r="A166" t="s">
        <v>179</v>
      </c>
      <c r="B166">
        <v>189</v>
      </c>
      <c r="C166">
        <v>17</v>
      </c>
      <c r="D166" s="1">
        <v>46040.145138888889</v>
      </c>
      <c r="E166">
        <v>99</v>
      </c>
      <c r="F166" t="s">
        <v>12</v>
      </c>
      <c r="G166" t="s">
        <v>10</v>
      </c>
      <c r="H166">
        <v>74</v>
      </c>
      <c r="I166" s="2">
        <f>VLOOKUP(B166,users!$A$1:$B$366,2,0)</f>
        <v>45520</v>
      </c>
      <c r="J166" s="3" t="str">
        <f>IFERROR(VLOOKUP(C166, merchants!$A$1:$D$41, 3, FALSE), "Data Missing")</f>
        <v>grocery</v>
      </c>
      <c r="K166" s="3" t="str">
        <f>IFERROR(VLOOKUP(C166, merchants!$A$1:$D$41, 4, FALSE), "Data Missing")</f>
        <v>North</v>
      </c>
      <c r="L166" s="7">
        <f>HLOOKUP(F166,payment_method!$A$1:$E$2,2,0)</f>
        <v>0</v>
      </c>
      <c r="M166" s="3" t="str">
        <f>IF(AND(E166&gt;5000, L166&lt;&gt;"East"), "High-Value Merchant Day", "Normal Day")</f>
        <v>Normal Day</v>
      </c>
    </row>
    <row r="167" spans="1:13" x14ac:dyDescent="0.3">
      <c r="A167" t="s">
        <v>180</v>
      </c>
      <c r="B167">
        <v>56</v>
      </c>
      <c r="C167">
        <v>15</v>
      </c>
      <c r="D167" s="1">
        <v>46035.849305555559</v>
      </c>
      <c r="E167">
        <v>299</v>
      </c>
      <c r="F167" t="s">
        <v>12</v>
      </c>
      <c r="G167" t="s">
        <v>10</v>
      </c>
      <c r="H167">
        <v>60</v>
      </c>
      <c r="I167" s="2">
        <f>VLOOKUP(B167,users!$A$1:$B$366,2,0)</f>
        <v>45514</v>
      </c>
      <c r="J167" s="3" t="str">
        <f>IFERROR(VLOOKUP(C167, merchants!$A$1:$D$41, 3, FALSE), "Data Missing")</f>
        <v>travel</v>
      </c>
      <c r="K167" s="3" t="str">
        <f>IFERROR(VLOOKUP(C167, merchants!$A$1:$D$41, 4, FALSE), "Data Missing")</f>
        <v>North</v>
      </c>
      <c r="L167" s="7">
        <f>HLOOKUP(F167,payment_method!$A$1:$E$2,2,0)</f>
        <v>0</v>
      </c>
      <c r="M167" s="3" t="str">
        <f>IF(AND(E167&gt;5000, L167&lt;&gt;"East"), "High-Value Merchant Day", "Normal Day")</f>
        <v>Normal Day</v>
      </c>
    </row>
    <row r="168" spans="1:13" x14ac:dyDescent="0.3">
      <c r="A168" t="s">
        <v>181</v>
      </c>
      <c r="B168">
        <v>288</v>
      </c>
      <c r="C168">
        <v>21</v>
      </c>
      <c r="D168" s="1">
        <v>46023.830555555556</v>
      </c>
      <c r="E168">
        <v>4999</v>
      </c>
      <c r="F168" t="s">
        <v>9</v>
      </c>
      <c r="G168" t="s">
        <v>25</v>
      </c>
      <c r="H168">
        <v>78</v>
      </c>
      <c r="I168" s="2">
        <f>VLOOKUP(B168,users!$A$1:$B$366,2,0)</f>
        <v>45702</v>
      </c>
      <c r="J168" s="3" t="str">
        <f>IFERROR(VLOOKUP(C168, merchants!$A$1:$D$41, 3, FALSE), "Data Missing")</f>
        <v>food_delivery</v>
      </c>
      <c r="K168" s="3" t="str">
        <f>IFERROR(VLOOKUP(C168, merchants!$A$1:$D$41, 4, FALSE), "Data Missing")</f>
        <v>East</v>
      </c>
      <c r="L168" s="7">
        <f>HLOOKUP(F168,payment_method!$A$1:$E$2,2,0)</f>
        <v>1.2E-2</v>
      </c>
      <c r="M168" s="3" t="str">
        <f>IF(AND(E168&gt;5000, L168&lt;&gt;"East"), "High-Value Merchant Day", "Normal Day")</f>
        <v>Normal Day</v>
      </c>
    </row>
    <row r="169" spans="1:13" x14ac:dyDescent="0.3">
      <c r="A169" t="s">
        <v>182</v>
      </c>
      <c r="B169">
        <v>326</v>
      </c>
      <c r="C169">
        <v>30</v>
      </c>
      <c r="D169" s="1">
        <v>46030.836111111108</v>
      </c>
      <c r="E169">
        <v>99</v>
      </c>
      <c r="F169" t="s">
        <v>24</v>
      </c>
      <c r="G169" t="s">
        <v>10</v>
      </c>
      <c r="H169">
        <v>89</v>
      </c>
      <c r="I169" s="2">
        <f>VLOOKUP(B169,users!$A$1:$B$366,2,0)</f>
        <v>45652</v>
      </c>
      <c r="J169" s="3" t="str">
        <f>IFERROR(VLOOKUP(C169, merchants!$A$1:$D$41, 3, FALSE), "Data Missing")</f>
        <v>travel</v>
      </c>
      <c r="K169" s="3" t="str">
        <f>IFERROR(VLOOKUP(C169, merchants!$A$1:$D$41, 4, FALSE), "Data Missing")</f>
        <v>West</v>
      </c>
      <c r="L169" s="7">
        <f>HLOOKUP(F169,payment_method!$A$1:$E$2,2,0)</f>
        <v>0.02</v>
      </c>
      <c r="M169" s="3" t="str">
        <f>IF(AND(E169&gt;5000, L169&lt;&gt;"East"), "High-Value Merchant Day", "Normal Day")</f>
        <v>Normal Day</v>
      </c>
    </row>
    <row r="170" spans="1:13" x14ac:dyDescent="0.3">
      <c r="A170" t="s">
        <v>183</v>
      </c>
      <c r="B170">
        <v>60</v>
      </c>
      <c r="C170">
        <v>9</v>
      </c>
      <c r="D170" s="1">
        <v>46032.851388888892</v>
      </c>
      <c r="E170">
        <v>49</v>
      </c>
      <c r="F170" t="s">
        <v>15</v>
      </c>
      <c r="G170" t="s">
        <v>10</v>
      </c>
      <c r="H170">
        <v>5</v>
      </c>
      <c r="I170" s="2">
        <f>VLOOKUP(B170,users!$A$1:$B$366,2,0)</f>
        <v>45982</v>
      </c>
      <c r="J170" s="3" t="str">
        <f>IFERROR(VLOOKUP(C170, merchants!$A$1:$D$41, 3, FALSE), "Data Missing")</f>
        <v>ecommerce</v>
      </c>
      <c r="K170" s="3" t="str">
        <f>IFERROR(VLOOKUP(C170, merchants!$A$1:$D$41, 4, FALSE), "Data Missing")</f>
        <v>North</v>
      </c>
      <c r="L170" s="7">
        <f>HLOOKUP(F170,payment_method!$A$1:$E$2,2,0)</f>
        <v>1.4999999999999999E-2</v>
      </c>
      <c r="M170" s="3" t="str">
        <f>IF(AND(E170&gt;5000, L170&lt;&gt;"East"), "High-Value Merchant Day", "Normal Day")</f>
        <v>Normal Day</v>
      </c>
    </row>
    <row r="171" spans="1:13" x14ac:dyDescent="0.3">
      <c r="A171" t="s">
        <v>184</v>
      </c>
      <c r="B171">
        <v>60</v>
      </c>
      <c r="C171">
        <v>7</v>
      </c>
      <c r="D171" s="1">
        <v>46024.396527777775</v>
      </c>
      <c r="E171">
        <v>2999</v>
      </c>
      <c r="F171" t="s">
        <v>9</v>
      </c>
      <c r="G171" t="s">
        <v>10</v>
      </c>
      <c r="H171">
        <v>30</v>
      </c>
      <c r="I171" s="2">
        <f>VLOOKUP(B171,users!$A$1:$B$366,2,0)</f>
        <v>45982</v>
      </c>
      <c r="J171" s="3" t="str">
        <f>IFERROR(VLOOKUP(C171, merchants!$A$1:$D$41, 3, FALSE), "Data Missing")</f>
        <v>food_delivery</v>
      </c>
      <c r="K171" s="3" t="str">
        <f>IFERROR(VLOOKUP(C171, merchants!$A$1:$D$41, 4, FALSE), "Data Missing")</f>
        <v>East</v>
      </c>
      <c r="L171" s="7">
        <f>HLOOKUP(F171,payment_method!$A$1:$E$2,2,0)</f>
        <v>1.2E-2</v>
      </c>
      <c r="M171" s="3" t="str">
        <f>IF(AND(E171&gt;5000, L171&lt;&gt;"East"), "High-Value Merchant Day", "Normal Day")</f>
        <v>Normal Day</v>
      </c>
    </row>
    <row r="172" spans="1:13" x14ac:dyDescent="0.3">
      <c r="A172" t="s">
        <v>185</v>
      </c>
      <c r="B172">
        <v>199</v>
      </c>
      <c r="C172">
        <v>30</v>
      </c>
      <c r="D172" s="1">
        <v>46051.713888888888</v>
      </c>
      <c r="E172">
        <v>149</v>
      </c>
      <c r="F172" t="s">
        <v>15</v>
      </c>
      <c r="G172" t="s">
        <v>10</v>
      </c>
      <c r="H172">
        <v>47</v>
      </c>
      <c r="I172" s="2">
        <f>VLOOKUP(B172,users!$A$1:$B$366,2,0)</f>
        <v>45898</v>
      </c>
      <c r="J172" s="3" t="str">
        <f>IFERROR(VLOOKUP(C172, merchants!$A$1:$D$41, 3, FALSE), "Data Missing")</f>
        <v>travel</v>
      </c>
      <c r="K172" s="3" t="str">
        <f>IFERROR(VLOOKUP(C172, merchants!$A$1:$D$41, 4, FALSE), "Data Missing")</f>
        <v>West</v>
      </c>
      <c r="L172" s="7">
        <f>HLOOKUP(F172,payment_method!$A$1:$E$2,2,0)</f>
        <v>1.4999999999999999E-2</v>
      </c>
      <c r="M172" s="3" t="str">
        <f>IF(AND(E172&gt;5000, L172&lt;&gt;"East"), "High-Value Merchant Day", "Normal Day")</f>
        <v>Normal Day</v>
      </c>
    </row>
    <row r="173" spans="1:13" x14ac:dyDescent="0.3">
      <c r="A173" t="s">
        <v>186</v>
      </c>
      <c r="B173">
        <v>277</v>
      </c>
      <c r="C173">
        <v>27</v>
      </c>
      <c r="D173" s="1">
        <v>46044.988888888889</v>
      </c>
      <c r="E173">
        <v>49</v>
      </c>
      <c r="F173" t="s">
        <v>12</v>
      </c>
      <c r="G173" t="s">
        <v>10</v>
      </c>
      <c r="H173">
        <v>75</v>
      </c>
      <c r="I173" s="2">
        <f>VLOOKUP(B173,users!$A$1:$B$366,2,0)</f>
        <v>45891</v>
      </c>
      <c r="J173" s="3" t="str">
        <f>IFERROR(VLOOKUP(C173, merchants!$A$1:$D$41, 3, FALSE), "Data Missing")</f>
        <v>ecommerce</v>
      </c>
      <c r="K173" s="3" t="str">
        <f>IFERROR(VLOOKUP(C173, merchants!$A$1:$D$41, 4, FALSE), "Data Missing")</f>
        <v>North</v>
      </c>
      <c r="L173" s="7">
        <f>HLOOKUP(F173,payment_method!$A$1:$E$2,2,0)</f>
        <v>0</v>
      </c>
      <c r="M173" s="3" t="str">
        <f>IF(AND(E173&gt;5000, L173&lt;&gt;"East"), "High-Value Merchant Day", "Normal Day")</f>
        <v>Normal Day</v>
      </c>
    </row>
    <row r="174" spans="1:13" x14ac:dyDescent="0.3">
      <c r="A174" t="s">
        <v>187</v>
      </c>
      <c r="B174">
        <v>213</v>
      </c>
      <c r="C174">
        <v>7</v>
      </c>
      <c r="D174" s="1">
        <v>46046.964583333334</v>
      </c>
      <c r="E174">
        <v>799</v>
      </c>
      <c r="F174" t="s">
        <v>15</v>
      </c>
      <c r="G174" t="s">
        <v>10</v>
      </c>
      <c r="H174">
        <v>62</v>
      </c>
      <c r="I174" s="2">
        <f>VLOOKUP(B174,users!$A$1:$B$366,2,0)</f>
        <v>45528</v>
      </c>
      <c r="J174" s="3" t="str">
        <f>IFERROR(VLOOKUP(C174, merchants!$A$1:$D$41, 3, FALSE), "Data Missing")</f>
        <v>food_delivery</v>
      </c>
      <c r="K174" s="3" t="str">
        <f>IFERROR(VLOOKUP(C174, merchants!$A$1:$D$41, 4, FALSE), "Data Missing")</f>
        <v>East</v>
      </c>
      <c r="L174" s="7">
        <f>HLOOKUP(F174,payment_method!$A$1:$E$2,2,0)</f>
        <v>1.4999999999999999E-2</v>
      </c>
      <c r="M174" s="3" t="str">
        <f>IF(AND(E174&gt;5000, L174&lt;&gt;"East"), "High-Value Merchant Day", "Normal Day")</f>
        <v>Normal Day</v>
      </c>
    </row>
    <row r="175" spans="1:13" x14ac:dyDescent="0.3">
      <c r="A175" t="s">
        <v>188</v>
      </c>
      <c r="B175">
        <v>17</v>
      </c>
      <c r="C175">
        <v>24</v>
      </c>
      <c r="D175" s="1">
        <v>46042.553472222222</v>
      </c>
      <c r="E175">
        <v>299</v>
      </c>
      <c r="F175" t="s">
        <v>12</v>
      </c>
      <c r="G175" t="s">
        <v>10</v>
      </c>
      <c r="H175">
        <v>27</v>
      </c>
      <c r="I175" s="2">
        <f>VLOOKUP(B175,users!$A$1:$B$366,2,0)</f>
        <v>45926</v>
      </c>
      <c r="J175" s="3" t="str">
        <f>IFERROR(VLOOKUP(C175, merchants!$A$1:$D$41, 3, FALSE), "Data Missing")</f>
        <v>grocery</v>
      </c>
      <c r="K175" s="3" t="str">
        <f>IFERROR(VLOOKUP(C175, merchants!$A$1:$D$41, 4, FALSE), "Data Missing")</f>
        <v>North</v>
      </c>
      <c r="L175" s="7">
        <f>HLOOKUP(F175,payment_method!$A$1:$E$2,2,0)</f>
        <v>0</v>
      </c>
      <c r="M175" s="3" t="str">
        <f>IF(AND(E175&gt;5000, L175&lt;&gt;"East"), "High-Value Merchant Day", "Normal Day")</f>
        <v>Normal Day</v>
      </c>
    </row>
    <row r="176" spans="1:13" x14ac:dyDescent="0.3">
      <c r="A176" t="s">
        <v>189</v>
      </c>
      <c r="B176">
        <v>186</v>
      </c>
      <c r="C176">
        <v>7</v>
      </c>
      <c r="D176" s="1">
        <v>46037.59375</v>
      </c>
      <c r="E176">
        <v>1499</v>
      </c>
      <c r="F176" t="s">
        <v>24</v>
      </c>
      <c r="G176" t="s">
        <v>25</v>
      </c>
      <c r="H176">
        <v>87</v>
      </c>
      <c r="I176" s="2">
        <f>VLOOKUP(B176,users!$A$1:$B$366,2,0)</f>
        <v>45561</v>
      </c>
      <c r="J176" s="3" t="str">
        <f>IFERROR(VLOOKUP(C176, merchants!$A$1:$D$41, 3, FALSE), "Data Missing")</f>
        <v>food_delivery</v>
      </c>
      <c r="K176" s="3" t="str">
        <f>IFERROR(VLOOKUP(C176, merchants!$A$1:$D$41, 4, FALSE), "Data Missing")</f>
        <v>East</v>
      </c>
      <c r="L176" s="7">
        <f>HLOOKUP(F176,payment_method!$A$1:$E$2,2,0)</f>
        <v>0.02</v>
      </c>
      <c r="M176" s="3" t="str">
        <f>IF(AND(E176&gt;5000, L176&lt;&gt;"East"), "High-Value Merchant Day", "Normal Day")</f>
        <v>Normal Day</v>
      </c>
    </row>
    <row r="177" spans="1:13" x14ac:dyDescent="0.3">
      <c r="A177" t="s">
        <v>190</v>
      </c>
      <c r="B177">
        <v>331</v>
      </c>
      <c r="C177">
        <v>23</v>
      </c>
      <c r="D177" s="1">
        <v>46034.747916666667</v>
      </c>
      <c r="E177">
        <v>149</v>
      </c>
      <c r="F177" t="s">
        <v>12</v>
      </c>
      <c r="G177" t="s">
        <v>10</v>
      </c>
      <c r="H177">
        <v>7</v>
      </c>
      <c r="I177" s="2">
        <f>VLOOKUP(B177,users!$A$1:$B$366,2,0)</f>
        <v>45541</v>
      </c>
      <c r="J177" s="3" t="str">
        <f>IFERROR(VLOOKUP(C177, merchants!$A$1:$D$41, 3, FALSE), "Data Missing")</f>
        <v>travel</v>
      </c>
      <c r="K177" s="3" t="str">
        <f>IFERROR(VLOOKUP(C177, merchants!$A$1:$D$41, 4, FALSE), "Data Missing")</f>
        <v>North</v>
      </c>
      <c r="L177" s="7">
        <f>HLOOKUP(F177,payment_method!$A$1:$E$2,2,0)</f>
        <v>0</v>
      </c>
      <c r="M177" s="3" t="str">
        <f>IF(AND(E177&gt;5000, L177&lt;&gt;"East"), "High-Value Merchant Day", "Normal Day")</f>
        <v>Normal Day</v>
      </c>
    </row>
    <row r="178" spans="1:13" x14ac:dyDescent="0.3">
      <c r="A178" t="s">
        <v>191</v>
      </c>
      <c r="B178">
        <v>63</v>
      </c>
      <c r="C178">
        <v>30</v>
      </c>
      <c r="D178" s="1">
        <v>46035.341666666667</v>
      </c>
      <c r="E178">
        <v>1499</v>
      </c>
      <c r="F178" t="s">
        <v>24</v>
      </c>
      <c r="G178" t="s">
        <v>10</v>
      </c>
      <c r="H178">
        <v>11</v>
      </c>
      <c r="I178" s="2">
        <f>VLOOKUP(B178,users!$A$1:$B$366,2,0)</f>
        <v>45295</v>
      </c>
      <c r="J178" s="3" t="str">
        <f>IFERROR(VLOOKUP(C178, merchants!$A$1:$D$41, 3, FALSE), "Data Missing")</f>
        <v>travel</v>
      </c>
      <c r="K178" s="3" t="str">
        <f>IFERROR(VLOOKUP(C178, merchants!$A$1:$D$41, 4, FALSE), "Data Missing")</f>
        <v>West</v>
      </c>
      <c r="L178" s="7">
        <f>HLOOKUP(F178,payment_method!$A$1:$E$2,2,0)</f>
        <v>0.02</v>
      </c>
      <c r="M178" s="3" t="str">
        <f>IF(AND(E178&gt;5000, L178&lt;&gt;"East"), "High-Value Merchant Day", "Normal Day")</f>
        <v>Normal Day</v>
      </c>
    </row>
    <row r="179" spans="1:13" x14ac:dyDescent="0.3">
      <c r="A179" t="s">
        <v>192</v>
      </c>
      <c r="B179">
        <v>328</v>
      </c>
      <c r="C179">
        <v>39</v>
      </c>
      <c r="D179" s="1">
        <v>46044.27847222222</v>
      </c>
      <c r="E179">
        <v>4999</v>
      </c>
      <c r="F179" t="s">
        <v>9</v>
      </c>
      <c r="G179" t="s">
        <v>38</v>
      </c>
      <c r="H179">
        <v>2</v>
      </c>
      <c r="I179" s="2">
        <f>VLOOKUP(B179,users!$A$1:$B$366,2,0)</f>
        <v>45341</v>
      </c>
      <c r="J179" s="3" t="str">
        <f>IFERROR(VLOOKUP(C179, merchants!$A$1:$D$41, 3, FALSE), "Data Missing")</f>
        <v>entertainment</v>
      </c>
      <c r="K179" s="3" t="str">
        <f>IFERROR(VLOOKUP(C179, merchants!$A$1:$D$41, 4, FALSE), "Data Missing")</f>
        <v>North</v>
      </c>
      <c r="L179" s="7">
        <f>HLOOKUP(F179,payment_method!$A$1:$E$2,2,0)</f>
        <v>1.2E-2</v>
      </c>
      <c r="M179" s="3" t="str">
        <f>IF(AND(E179&gt;5000, L179&lt;&gt;"East"), "High-Value Merchant Day", "Normal Day")</f>
        <v>Normal Day</v>
      </c>
    </row>
    <row r="180" spans="1:13" x14ac:dyDescent="0.3">
      <c r="A180" t="s">
        <v>193</v>
      </c>
      <c r="B180">
        <v>65</v>
      </c>
      <c r="C180">
        <v>37</v>
      </c>
      <c r="D180" s="1">
        <v>46024.427083333336</v>
      </c>
      <c r="E180">
        <v>2999</v>
      </c>
      <c r="F180" t="s">
        <v>24</v>
      </c>
      <c r="G180" t="s">
        <v>10</v>
      </c>
      <c r="H180">
        <v>26</v>
      </c>
      <c r="I180" s="2">
        <f>VLOOKUP(B180,users!$A$1:$B$366,2,0)</f>
        <v>45720</v>
      </c>
      <c r="J180" s="3" t="str">
        <f>IFERROR(VLOOKUP(C180, merchants!$A$1:$D$41, 3, FALSE), "Data Missing")</f>
        <v>entertainment</v>
      </c>
      <c r="K180" s="3" t="str">
        <f>IFERROR(VLOOKUP(C180, merchants!$A$1:$D$41, 4, FALSE), "Data Missing")</f>
        <v>South</v>
      </c>
      <c r="L180" s="7">
        <f>HLOOKUP(F180,payment_method!$A$1:$E$2,2,0)</f>
        <v>0.02</v>
      </c>
      <c r="M180" s="3" t="str">
        <f>IF(AND(E180&gt;5000, L180&lt;&gt;"East"), "High-Value Merchant Day", "Normal Day")</f>
        <v>Normal Day</v>
      </c>
    </row>
    <row r="181" spans="1:13" x14ac:dyDescent="0.3">
      <c r="A181" t="s">
        <v>194</v>
      </c>
      <c r="B181">
        <v>301</v>
      </c>
      <c r="C181">
        <v>14</v>
      </c>
      <c r="D181" s="1">
        <v>46025.717361111114</v>
      </c>
      <c r="E181">
        <v>149</v>
      </c>
      <c r="F181" t="s">
        <v>12</v>
      </c>
      <c r="G181" t="s">
        <v>10</v>
      </c>
      <c r="H181">
        <v>29</v>
      </c>
      <c r="I181" s="2">
        <f>VLOOKUP(B181,users!$A$1:$B$366,2,0)</f>
        <v>45887</v>
      </c>
      <c r="J181" s="3" t="str">
        <f>IFERROR(VLOOKUP(C181, merchants!$A$1:$D$41, 3, FALSE), "Data Missing")</f>
        <v>grocery</v>
      </c>
      <c r="K181" s="3" t="str">
        <f>IFERROR(VLOOKUP(C181, merchants!$A$1:$D$41, 4, FALSE), "Data Missing")</f>
        <v>East</v>
      </c>
      <c r="L181" s="7">
        <f>HLOOKUP(F181,payment_method!$A$1:$E$2,2,0)</f>
        <v>0</v>
      </c>
      <c r="M181" s="3" t="str">
        <f>IF(AND(E181&gt;5000, L181&lt;&gt;"East"), "High-Value Merchant Day", "Normal Day")</f>
        <v>Normal Day</v>
      </c>
    </row>
    <row r="182" spans="1:13" x14ac:dyDescent="0.3">
      <c r="A182" t="s">
        <v>195</v>
      </c>
      <c r="B182">
        <v>306</v>
      </c>
      <c r="C182">
        <v>1</v>
      </c>
      <c r="D182" s="1">
        <v>46033.201388888891</v>
      </c>
      <c r="E182">
        <v>299</v>
      </c>
      <c r="F182" t="s">
        <v>12</v>
      </c>
      <c r="G182" t="s">
        <v>25</v>
      </c>
      <c r="H182">
        <v>35</v>
      </c>
      <c r="I182" s="2">
        <f>VLOOKUP(B182,users!$A$1:$B$366,2,0)</f>
        <v>45427</v>
      </c>
      <c r="J182" s="3" t="str">
        <f>IFERROR(VLOOKUP(C182, merchants!$A$1:$D$41, 3, FALSE), "Data Missing")</f>
        <v>ecommerce</v>
      </c>
      <c r="K182" s="3" t="str">
        <f>IFERROR(VLOOKUP(C182, merchants!$A$1:$D$41, 4, FALSE), "Data Missing")</f>
        <v>South</v>
      </c>
      <c r="L182" s="7">
        <f>HLOOKUP(F182,payment_method!$A$1:$E$2,2,0)</f>
        <v>0</v>
      </c>
      <c r="M182" s="3" t="str">
        <f>IF(AND(E182&gt;5000, L182&lt;&gt;"East"), "High-Value Merchant Day", "Normal Day")</f>
        <v>Normal Day</v>
      </c>
    </row>
    <row r="183" spans="1:13" x14ac:dyDescent="0.3">
      <c r="A183" t="s">
        <v>196</v>
      </c>
      <c r="B183">
        <v>277</v>
      </c>
      <c r="C183">
        <v>17</v>
      </c>
      <c r="D183" s="1">
        <v>46050.172222222223</v>
      </c>
      <c r="E183">
        <v>299</v>
      </c>
      <c r="F183" t="s">
        <v>12</v>
      </c>
      <c r="G183" t="s">
        <v>10</v>
      </c>
      <c r="H183">
        <v>22</v>
      </c>
      <c r="I183" s="2">
        <f>VLOOKUP(B183,users!$A$1:$B$366,2,0)</f>
        <v>45891</v>
      </c>
      <c r="J183" s="3" t="str">
        <f>IFERROR(VLOOKUP(C183, merchants!$A$1:$D$41, 3, FALSE), "Data Missing")</f>
        <v>grocery</v>
      </c>
      <c r="K183" s="3" t="str">
        <f>IFERROR(VLOOKUP(C183, merchants!$A$1:$D$41, 4, FALSE), "Data Missing")</f>
        <v>North</v>
      </c>
      <c r="L183" s="7">
        <f>HLOOKUP(F183,payment_method!$A$1:$E$2,2,0)</f>
        <v>0</v>
      </c>
      <c r="M183" s="3" t="str">
        <f>IF(AND(E183&gt;5000, L183&lt;&gt;"East"), "High-Value Merchant Day", "Normal Day")</f>
        <v>Normal Day</v>
      </c>
    </row>
    <row r="184" spans="1:13" x14ac:dyDescent="0.3">
      <c r="A184" t="s">
        <v>197</v>
      </c>
      <c r="B184">
        <v>14</v>
      </c>
      <c r="C184">
        <v>9</v>
      </c>
      <c r="D184" s="1">
        <v>46026.913194444445</v>
      </c>
      <c r="E184">
        <v>499</v>
      </c>
      <c r="F184" t="s">
        <v>12</v>
      </c>
      <c r="G184" t="s">
        <v>10</v>
      </c>
      <c r="H184">
        <v>1</v>
      </c>
      <c r="I184" s="2">
        <f>VLOOKUP(B184,users!$A$1:$B$366,2,0)</f>
        <v>45670</v>
      </c>
      <c r="J184" s="3" t="str">
        <f>IFERROR(VLOOKUP(C184, merchants!$A$1:$D$41, 3, FALSE), "Data Missing")</f>
        <v>ecommerce</v>
      </c>
      <c r="K184" s="3" t="str">
        <f>IFERROR(VLOOKUP(C184, merchants!$A$1:$D$41, 4, FALSE), "Data Missing")</f>
        <v>North</v>
      </c>
      <c r="L184" s="7">
        <f>HLOOKUP(F184,payment_method!$A$1:$E$2,2,0)</f>
        <v>0</v>
      </c>
      <c r="M184" s="3" t="str">
        <f>IF(AND(E184&gt;5000, L184&lt;&gt;"East"), "High-Value Merchant Day", "Normal Day")</f>
        <v>Normal Day</v>
      </c>
    </row>
    <row r="185" spans="1:13" x14ac:dyDescent="0.3">
      <c r="A185" t="s">
        <v>198</v>
      </c>
      <c r="B185">
        <v>166</v>
      </c>
      <c r="C185">
        <v>2</v>
      </c>
      <c r="D185" s="1">
        <v>46034.317361111112</v>
      </c>
      <c r="E185">
        <v>299</v>
      </c>
      <c r="F185" t="s">
        <v>24</v>
      </c>
      <c r="G185" t="s">
        <v>10</v>
      </c>
      <c r="H185">
        <v>22</v>
      </c>
      <c r="I185" s="2">
        <f>VLOOKUP(B185,users!$A$1:$B$366,2,0)</f>
        <v>45552</v>
      </c>
      <c r="J185" s="3" t="str">
        <f>IFERROR(VLOOKUP(C185, merchants!$A$1:$D$41, 3, FALSE), "Data Missing")</f>
        <v>grocery</v>
      </c>
      <c r="K185" s="3" t="str">
        <f>IFERROR(VLOOKUP(C185, merchants!$A$1:$D$41, 4, FALSE), "Data Missing")</f>
        <v>West</v>
      </c>
      <c r="L185" s="7">
        <f>HLOOKUP(F185,payment_method!$A$1:$E$2,2,0)</f>
        <v>0.02</v>
      </c>
      <c r="M185" s="3" t="str">
        <f>IF(AND(E185&gt;5000, L185&lt;&gt;"East"), "High-Value Merchant Day", "Normal Day")</f>
        <v>Normal Day</v>
      </c>
    </row>
    <row r="186" spans="1:13" x14ac:dyDescent="0.3">
      <c r="A186" t="s">
        <v>199</v>
      </c>
      <c r="B186">
        <v>216</v>
      </c>
      <c r="C186">
        <v>34</v>
      </c>
      <c r="D186" s="1">
        <v>46031.047222222223</v>
      </c>
      <c r="E186">
        <v>299</v>
      </c>
      <c r="F186" t="s">
        <v>24</v>
      </c>
      <c r="G186" t="s">
        <v>10</v>
      </c>
      <c r="H186">
        <v>14</v>
      </c>
      <c r="I186" s="2">
        <f>VLOOKUP(B186,users!$A$1:$B$366,2,0)</f>
        <v>45424</v>
      </c>
      <c r="J186" s="3" t="str">
        <f>IFERROR(VLOOKUP(C186, merchants!$A$1:$D$41, 3, FALSE), "Data Missing")</f>
        <v>travel</v>
      </c>
      <c r="K186" s="3" t="str">
        <f>IFERROR(VLOOKUP(C186, merchants!$A$1:$D$41, 4, FALSE), "Data Missing")</f>
        <v>South</v>
      </c>
      <c r="L186" s="7">
        <f>HLOOKUP(F186,payment_method!$A$1:$E$2,2,0)</f>
        <v>0.02</v>
      </c>
      <c r="M186" s="3" t="str">
        <f>IF(AND(E186&gt;5000, L186&lt;&gt;"East"), "High-Value Merchant Day", "Normal Day")</f>
        <v>Normal Day</v>
      </c>
    </row>
    <row r="187" spans="1:13" x14ac:dyDescent="0.3">
      <c r="A187" t="s">
        <v>200</v>
      </c>
      <c r="B187">
        <v>230</v>
      </c>
      <c r="C187">
        <v>24</v>
      </c>
      <c r="D187" s="1">
        <v>46046.104166666664</v>
      </c>
      <c r="E187">
        <v>49</v>
      </c>
      <c r="F187" t="s">
        <v>12</v>
      </c>
      <c r="G187" t="s">
        <v>10</v>
      </c>
      <c r="H187">
        <v>65</v>
      </c>
      <c r="I187" s="2">
        <f>VLOOKUP(B187,users!$A$1:$B$366,2,0)</f>
        <v>45395</v>
      </c>
      <c r="J187" s="3" t="str">
        <f>IFERROR(VLOOKUP(C187, merchants!$A$1:$D$41, 3, FALSE), "Data Missing")</f>
        <v>grocery</v>
      </c>
      <c r="K187" s="3" t="str">
        <f>IFERROR(VLOOKUP(C187, merchants!$A$1:$D$41, 4, FALSE), "Data Missing")</f>
        <v>North</v>
      </c>
      <c r="L187" s="7">
        <f>HLOOKUP(F187,payment_method!$A$1:$E$2,2,0)</f>
        <v>0</v>
      </c>
      <c r="M187" s="3" t="str">
        <f>IF(AND(E187&gt;5000, L187&lt;&gt;"East"), "High-Value Merchant Day", "Normal Day")</f>
        <v>Normal Day</v>
      </c>
    </row>
    <row r="188" spans="1:13" x14ac:dyDescent="0.3">
      <c r="A188" t="s">
        <v>201</v>
      </c>
      <c r="B188">
        <v>258</v>
      </c>
      <c r="C188">
        <v>15</v>
      </c>
      <c r="D188" s="1">
        <v>46041.144444444442</v>
      </c>
      <c r="E188">
        <v>499</v>
      </c>
      <c r="F188" t="s">
        <v>9</v>
      </c>
      <c r="G188" t="s">
        <v>10</v>
      </c>
      <c r="H188">
        <v>78</v>
      </c>
      <c r="I188" s="2">
        <f>VLOOKUP(B188,users!$A$1:$B$366,2,0)</f>
        <v>45670</v>
      </c>
      <c r="J188" s="3" t="str">
        <f>IFERROR(VLOOKUP(C188, merchants!$A$1:$D$41, 3, FALSE), "Data Missing")</f>
        <v>travel</v>
      </c>
      <c r="K188" s="3" t="str">
        <f>IFERROR(VLOOKUP(C188, merchants!$A$1:$D$41, 4, FALSE), "Data Missing")</f>
        <v>North</v>
      </c>
      <c r="L188" s="7">
        <f>HLOOKUP(F188,payment_method!$A$1:$E$2,2,0)</f>
        <v>1.2E-2</v>
      </c>
      <c r="M188" s="3" t="str">
        <f>IF(AND(E188&gt;5000, L188&lt;&gt;"East"), "High-Value Merchant Day", "Normal Day")</f>
        <v>Normal Day</v>
      </c>
    </row>
    <row r="189" spans="1:13" x14ac:dyDescent="0.3">
      <c r="A189" t="s">
        <v>202</v>
      </c>
      <c r="B189">
        <v>338</v>
      </c>
      <c r="C189">
        <v>34</v>
      </c>
      <c r="D189" s="1">
        <v>46024.993055555555</v>
      </c>
      <c r="E189">
        <v>49</v>
      </c>
      <c r="F189" t="s">
        <v>12</v>
      </c>
      <c r="G189" t="s">
        <v>10</v>
      </c>
      <c r="H189">
        <v>38</v>
      </c>
      <c r="I189" s="2">
        <f>VLOOKUP(B189,users!$A$1:$B$366,2,0)</f>
        <v>45841</v>
      </c>
      <c r="J189" s="3" t="str">
        <f>IFERROR(VLOOKUP(C189, merchants!$A$1:$D$41, 3, FALSE), "Data Missing")</f>
        <v>travel</v>
      </c>
      <c r="K189" s="3" t="str">
        <f>IFERROR(VLOOKUP(C189, merchants!$A$1:$D$41, 4, FALSE), "Data Missing")</f>
        <v>South</v>
      </c>
      <c r="L189" s="7">
        <f>HLOOKUP(F189,payment_method!$A$1:$E$2,2,0)</f>
        <v>0</v>
      </c>
      <c r="M189" s="3" t="str">
        <f>IF(AND(E189&gt;5000, L189&lt;&gt;"East"), "High-Value Merchant Day", "Normal Day")</f>
        <v>Normal Day</v>
      </c>
    </row>
    <row r="190" spans="1:13" x14ac:dyDescent="0.3">
      <c r="A190" t="s">
        <v>203</v>
      </c>
      <c r="B190">
        <v>32</v>
      </c>
      <c r="C190">
        <v>31</v>
      </c>
      <c r="D190" s="1">
        <v>46037.834027777775</v>
      </c>
      <c r="E190">
        <v>299</v>
      </c>
      <c r="F190" t="s">
        <v>12</v>
      </c>
      <c r="G190" t="s">
        <v>10</v>
      </c>
      <c r="H190">
        <v>51</v>
      </c>
      <c r="I190" s="2">
        <f>VLOOKUP(B190,users!$A$1:$B$366,2,0)</f>
        <v>45442</v>
      </c>
      <c r="J190" s="3" t="str">
        <f>IFERROR(VLOOKUP(C190, merchants!$A$1:$D$41, 3, FALSE), "Data Missing")</f>
        <v>bill_payment</v>
      </c>
      <c r="K190" s="3" t="str">
        <f>IFERROR(VLOOKUP(C190, merchants!$A$1:$D$41, 4, FALSE), "Data Missing")</f>
        <v>East</v>
      </c>
      <c r="L190" s="7">
        <f>HLOOKUP(F190,payment_method!$A$1:$E$2,2,0)</f>
        <v>0</v>
      </c>
      <c r="M190" s="3" t="str">
        <f>IF(AND(E190&gt;5000, L190&lt;&gt;"East"), "High-Value Merchant Day", "Normal Day")</f>
        <v>Normal Day</v>
      </c>
    </row>
    <row r="191" spans="1:13" x14ac:dyDescent="0.3">
      <c r="A191" t="s">
        <v>204</v>
      </c>
      <c r="B191">
        <v>252</v>
      </c>
      <c r="C191">
        <v>29</v>
      </c>
      <c r="D191" s="1">
        <v>46036.879166666666</v>
      </c>
      <c r="E191">
        <v>1499</v>
      </c>
      <c r="F191" t="s">
        <v>12</v>
      </c>
      <c r="G191" t="s">
        <v>10</v>
      </c>
      <c r="H191">
        <v>9</v>
      </c>
      <c r="I191" s="2">
        <f>VLOOKUP(B191,users!$A$1:$B$366,2,0)</f>
        <v>45910</v>
      </c>
      <c r="J191" s="3" t="str">
        <f>IFERROR(VLOOKUP(C191, merchants!$A$1:$D$41, 3, FALSE), "Data Missing")</f>
        <v>ecommerce</v>
      </c>
      <c r="K191" s="3" t="str">
        <f>IFERROR(VLOOKUP(C191, merchants!$A$1:$D$41, 4, FALSE), "Data Missing")</f>
        <v>North</v>
      </c>
      <c r="L191" s="7">
        <f>HLOOKUP(F191,payment_method!$A$1:$E$2,2,0)</f>
        <v>0</v>
      </c>
      <c r="M191" s="3" t="str">
        <f>IF(AND(E191&gt;5000, L191&lt;&gt;"East"), "High-Value Merchant Day", "Normal Day")</f>
        <v>Normal Day</v>
      </c>
    </row>
    <row r="192" spans="1:13" x14ac:dyDescent="0.3">
      <c r="A192" t="s">
        <v>205</v>
      </c>
      <c r="B192">
        <v>312</v>
      </c>
      <c r="C192">
        <v>10</v>
      </c>
      <c r="D192" s="1">
        <v>46051.097222222219</v>
      </c>
      <c r="E192">
        <v>799</v>
      </c>
      <c r="F192" t="s">
        <v>12</v>
      </c>
      <c r="G192" t="s">
        <v>10</v>
      </c>
      <c r="H192">
        <v>8</v>
      </c>
      <c r="I192" s="2">
        <f>VLOOKUP(B192,users!$A$1:$B$366,2,0)</f>
        <v>45642</v>
      </c>
      <c r="J192" s="3" t="str">
        <f>IFERROR(VLOOKUP(C192, merchants!$A$1:$D$41, 3, FALSE), "Data Missing")</f>
        <v>grocery</v>
      </c>
      <c r="K192" s="3" t="str">
        <f>IFERROR(VLOOKUP(C192, merchants!$A$1:$D$41, 4, FALSE), "Data Missing")</f>
        <v>West</v>
      </c>
      <c r="L192" s="7">
        <f>HLOOKUP(F192,payment_method!$A$1:$E$2,2,0)</f>
        <v>0</v>
      </c>
      <c r="M192" s="3" t="str">
        <f>IF(AND(E192&gt;5000, L192&lt;&gt;"East"), "High-Value Merchant Day", "Normal Day")</f>
        <v>Normal Day</v>
      </c>
    </row>
    <row r="193" spans="1:13" x14ac:dyDescent="0.3">
      <c r="A193" t="s">
        <v>206</v>
      </c>
      <c r="B193">
        <v>325</v>
      </c>
      <c r="C193">
        <v>38</v>
      </c>
      <c r="D193" s="1">
        <v>46027.36041666667</v>
      </c>
      <c r="E193">
        <v>1499</v>
      </c>
      <c r="F193" t="s">
        <v>15</v>
      </c>
      <c r="G193" t="s">
        <v>10</v>
      </c>
      <c r="H193">
        <v>70</v>
      </c>
      <c r="I193" s="2">
        <f>VLOOKUP(B193,users!$A$1:$B$366,2,0)</f>
        <v>45990</v>
      </c>
      <c r="J193" s="3" t="str">
        <f>IFERROR(VLOOKUP(C193, merchants!$A$1:$D$41, 3, FALSE), "Data Missing")</f>
        <v>grocery</v>
      </c>
      <c r="K193" s="3" t="str">
        <f>IFERROR(VLOOKUP(C193, merchants!$A$1:$D$41, 4, FALSE), "Data Missing")</f>
        <v>East</v>
      </c>
      <c r="L193" s="7">
        <f>HLOOKUP(F193,payment_method!$A$1:$E$2,2,0)</f>
        <v>1.4999999999999999E-2</v>
      </c>
      <c r="M193" s="3" t="str">
        <f>IF(AND(E193&gt;5000, L193&lt;&gt;"East"), "High-Value Merchant Day", "Normal Day")</f>
        <v>Normal Day</v>
      </c>
    </row>
    <row r="194" spans="1:13" x14ac:dyDescent="0.3">
      <c r="A194" t="s">
        <v>207</v>
      </c>
      <c r="B194">
        <v>306</v>
      </c>
      <c r="C194">
        <v>34</v>
      </c>
      <c r="D194" s="1">
        <v>46045.433333333334</v>
      </c>
      <c r="E194">
        <v>2999</v>
      </c>
      <c r="F194" t="s">
        <v>12</v>
      </c>
      <c r="G194" t="s">
        <v>10</v>
      </c>
      <c r="H194">
        <v>37</v>
      </c>
      <c r="I194" s="2">
        <f>VLOOKUP(B194,users!$A$1:$B$366,2,0)</f>
        <v>45427</v>
      </c>
      <c r="J194" s="3" t="str">
        <f>IFERROR(VLOOKUP(C194, merchants!$A$1:$D$41, 3, FALSE), "Data Missing")</f>
        <v>travel</v>
      </c>
      <c r="K194" s="3" t="str">
        <f>IFERROR(VLOOKUP(C194, merchants!$A$1:$D$41, 4, FALSE), "Data Missing")</f>
        <v>South</v>
      </c>
      <c r="L194" s="7">
        <f>HLOOKUP(F194,payment_method!$A$1:$E$2,2,0)</f>
        <v>0</v>
      </c>
      <c r="M194" s="3" t="str">
        <f>IF(AND(E194&gt;5000, L194&lt;&gt;"East"), "High-Value Merchant Day", "Normal Day")</f>
        <v>Normal Day</v>
      </c>
    </row>
    <row r="195" spans="1:13" x14ac:dyDescent="0.3">
      <c r="A195" t="s">
        <v>208</v>
      </c>
      <c r="B195">
        <v>221</v>
      </c>
      <c r="C195">
        <v>7</v>
      </c>
      <c r="D195" s="1">
        <v>46037.693055555559</v>
      </c>
      <c r="E195">
        <v>149</v>
      </c>
      <c r="F195" t="s">
        <v>15</v>
      </c>
      <c r="G195" t="s">
        <v>10</v>
      </c>
      <c r="H195">
        <v>89</v>
      </c>
      <c r="I195" s="2">
        <f>VLOOKUP(B195,users!$A$1:$B$366,2,0)</f>
        <v>45690</v>
      </c>
      <c r="J195" s="3" t="str">
        <f>IFERROR(VLOOKUP(C195, merchants!$A$1:$D$41, 3, FALSE), "Data Missing")</f>
        <v>food_delivery</v>
      </c>
      <c r="K195" s="3" t="str">
        <f>IFERROR(VLOOKUP(C195, merchants!$A$1:$D$41, 4, FALSE), "Data Missing")</f>
        <v>East</v>
      </c>
      <c r="L195" s="7">
        <f>HLOOKUP(F195,payment_method!$A$1:$E$2,2,0)</f>
        <v>1.4999999999999999E-2</v>
      </c>
      <c r="M195" s="3" t="str">
        <f>IF(AND(E195&gt;5000, L195&lt;&gt;"East"), "High-Value Merchant Day", "Normal Day")</f>
        <v>Normal Day</v>
      </c>
    </row>
    <row r="196" spans="1:13" x14ac:dyDescent="0.3">
      <c r="A196" t="s">
        <v>209</v>
      </c>
      <c r="B196">
        <v>283</v>
      </c>
      <c r="C196">
        <v>14</v>
      </c>
      <c r="D196" s="1">
        <v>46026.861805555556</v>
      </c>
      <c r="E196">
        <v>99</v>
      </c>
      <c r="F196" t="s">
        <v>9</v>
      </c>
      <c r="G196" t="s">
        <v>10</v>
      </c>
      <c r="H196">
        <v>55</v>
      </c>
      <c r="I196" s="2">
        <f>VLOOKUP(B196,users!$A$1:$B$366,2,0)</f>
        <v>45858</v>
      </c>
      <c r="J196" s="3" t="str">
        <f>IFERROR(VLOOKUP(C196, merchants!$A$1:$D$41, 3, FALSE), "Data Missing")</f>
        <v>grocery</v>
      </c>
      <c r="K196" s="3" t="str">
        <f>IFERROR(VLOOKUP(C196, merchants!$A$1:$D$41, 4, FALSE), "Data Missing")</f>
        <v>East</v>
      </c>
      <c r="L196" s="7">
        <f>HLOOKUP(F196,payment_method!$A$1:$E$2,2,0)</f>
        <v>1.2E-2</v>
      </c>
      <c r="M196" s="3" t="str">
        <f>IF(AND(E196&gt;5000, L196&lt;&gt;"East"), "High-Value Merchant Day", "Normal Day")</f>
        <v>Normal Day</v>
      </c>
    </row>
    <row r="197" spans="1:13" x14ac:dyDescent="0.3">
      <c r="A197" t="s">
        <v>210</v>
      </c>
      <c r="B197">
        <v>174</v>
      </c>
      <c r="C197">
        <v>30</v>
      </c>
      <c r="D197" s="1">
        <v>46037.30972222222</v>
      </c>
      <c r="E197">
        <v>49</v>
      </c>
      <c r="F197" t="s">
        <v>12</v>
      </c>
      <c r="G197" t="s">
        <v>10</v>
      </c>
      <c r="H197">
        <v>51</v>
      </c>
      <c r="I197" s="2">
        <f>VLOOKUP(B197,users!$A$1:$B$366,2,0)</f>
        <v>45332</v>
      </c>
      <c r="J197" s="3" t="str">
        <f>IFERROR(VLOOKUP(C197, merchants!$A$1:$D$41, 3, FALSE), "Data Missing")</f>
        <v>travel</v>
      </c>
      <c r="K197" s="3" t="str">
        <f>IFERROR(VLOOKUP(C197, merchants!$A$1:$D$41, 4, FALSE), "Data Missing")</f>
        <v>West</v>
      </c>
      <c r="L197" s="7">
        <f>HLOOKUP(F197,payment_method!$A$1:$E$2,2,0)</f>
        <v>0</v>
      </c>
      <c r="M197" s="3" t="str">
        <f>IF(AND(E197&gt;5000, L197&lt;&gt;"East"), "High-Value Merchant Day", "Normal Day")</f>
        <v>Normal Day</v>
      </c>
    </row>
    <row r="198" spans="1:13" x14ac:dyDescent="0.3">
      <c r="A198" t="s">
        <v>211</v>
      </c>
      <c r="B198">
        <v>161</v>
      </c>
      <c r="C198">
        <v>28</v>
      </c>
      <c r="D198" s="1">
        <v>46036.962500000001</v>
      </c>
      <c r="E198">
        <v>49</v>
      </c>
      <c r="F198" t="s">
        <v>12</v>
      </c>
      <c r="G198" t="s">
        <v>10</v>
      </c>
      <c r="H198">
        <v>40</v>
      </c>
      <c r="I198" s="2">
        <f>VLOOKUP(B198,users!$A$1:$B$366,2,0)</f>
        <v>45577</v>
      </c>
      <c r="J198" s="3" t="str">
        <f>IFERROR(VLOOKUP(C198, merchants!$A$1:$D$41, 3, FALSE), "Data Missing")</f>
        <v>ecommerce</v>
      </c>
      <c r="K198" s="3" t="str">
        <f>IFERROR(VLOOKUP(C198, merchants!$A$1:$D$41, 4, FALSE), "Data Missing")</f>
        <v>South</v>
      </c>
      <c r="L198" s="7">
        <f>HLOOKUP(F198,payment_method!$A$1:$E$2,2,0)</f>
        <v>0</v>
      </c>
      <c r="M198" s="3" t="str">
        <f>IF(AND(E198&gt;5000, L198&lt;&gt;"East"), "High-Value Merchant Day", "Normal Day")</f>
        <v>Normal Day</v>
      </c>
    </row>
    <row r="199" spans="1:13" x14ac:dyDescent="0.3">
      <c r="A199" t="s">
        <v>212</v>
      </c>
      <c r="B199">
        <v>79</v>
      </c>
      <c r="C199">
        <v>31</v>
      </c>
      <c r="D199" s="1">
        <v>46044.349305555559</v>
      </c>
      <c r="E199">
        <v>99</v>
      </c>
      <c r="F199" t="s">
        <v>12</v>
      </c>
      <c r="G199" t="s">
        <v>10</v>
      </c>
      <c r="H199">
        <v>8</v>
      </c>
      <c r="I199" s="2">
        <f>VLOOKUP(B199,users!$A$1:$B$366,2,0)</f>
        <v>45353</v>
      </c>
      <c r="J199" s="3" t="str">
        <f>IFERROR(VLOOKUP(C199, merchants!$A$1:$D$41, 3, FALSE), "Data Missing")</f>
        <v>bill_payment</v>
      </c>
      <c r="K199" s="3" t="str">
        <f>IFERROR(VLOOKUP(C199, merchants!$A$1:$D$41, 4, FALSE), "Data Missing")</f>
        <v>East</v>
      </c>
      <c r="L199" s="7">
        <f>HLOOKUP(F199,payment_method!$A$1:$E$2,2,0)</f>
        <v>0</v>
      </c>
      <c r="M199" s="3" t="str">
        <f>IF(AND(E199&gt;5000, L199&lt;&gt;"East"), "High-Value Merchant Day", "Normal Day")</f>
        <v>Normal Day</v>
      </c>
    </row>
    <row r="200" spans="1:13" x14ac:dyDescent="0.3">
      <c r="A200" t="s">
        <v>213</v>
      </c>
      <c r="B200">
        <v>222</v>
      </c>
      <c r="C200">
        <v>7</v>
      </c>
      <c r="D200" s="1">
        <v>46025.086805555555</v>
      </c>
      <c r="E200">
        <v>149</v>
      </c>
      <c r="F200" t="s">
        <v>9</v>
      </c>
      <c r="G200" t="s">
        <v>10</v>
      </c>
      <c r="H200">
        <v>95</v>
      </c>
      <c r="I200" s="2">
        <f>VLOOKUP(B200,users!$A$1:$B$366,2,0)</f>
        <v>45771</v>
      </c>
      <c r="J200" s="3" t="str">
        <f>IFERROR(VLOOKUP(C200, merchants!$A$1:$D$41, 3, FALSE), "Data Missing")</f>
        <v>food_delivery</v>
      </c>
      <c r="K200" s="3" t="str">
        <f>IFERROR(VLOOKUP(C200, merchants!$A$1:$D$41, 4, FALSE), "Data Missing")</f>
        <v>East</v>
      </c>
      <c r="L200" s="7">
        <f>HLOOKUP(F200,payment_method!$A$1:$E$2,2,0)</f>
        <v>1.2E-2</v>
      </c>
      <c r="M200" s="3" t="str">
        <f>IF(AND(E200&gt;5000, L200&lt;&gt;"East"), "High-Value Merchant Day", "Normal Day")</f>
        <v>Normal Day</v>
      </c>
    </row>
    <row r="201" spans="1:13" x14ac:dyDescent="0.3">
      <c r="A201" t="s">
        <v>214</v>
      </c>
      <c r="B201">
        <v>67</v>
      </c>
      <c r="C201">
        <v>36</v>
      </c>
      <c r="D201" s="1">
        <v>46046.493750000001</v>
      </c>
      <c r="E201">
        <v>99</v>
      </c>
      <c r="F201" t="s">
        <v>12</v>
      </c>
      <c r="G201" t="s">
        <v>10</v>
      </c>
      <c r="H201">
        <v>7</v>
      </c>
      <c r="I201" s="2">
        <f>VLOOKUP(B201,users!$A$1:$B$366,2,0)</f>
        <v>45645</v>
      </c>
      <c r="J201" s="3" t="str">
        <f>IFERROR(VLOOKUP(C201, merchants!$A$1:$D$41, 3, FALSE), "Data Missing")</f>
        <v>entertainment</v>
      </c>
      <c r="K201" s="3" t="str">
        <f>IFERROR(VLOOKUP(C201, merchants!$A$1:$D$41, 4, FALSE), "Data Missing")</f>
        <v>East</v>
      </c>
      <c r="L201" s="7">
        <f>HLOOKUP(F201,payment_method!$A$1:$E$2,2,0)</f>
        <v>0</v>
      </c>
      <c r="M201" s="3" t="str">
        <f>IF(AND(E201&gt;5000, L201&lt;&gt;"East"), "High-Value Merchant Day", "Normal Day")</f>
        <v>Normal Day</v>
      </c>
    </row>
    <row r="202" spans="1:13" x14ac:dyDescent="0.3">
      <c r="A202" t="s">
        <v>215</v>
      </c>
      <c r="B202">
        <v>169</v>
      </c>
      <c r="C202">
        <v>8</v>
      </c>
      <c r="D202" s="1">
        <v>46041.732638888891</v>
      </c>
      <c r="E202">
        <v>99</v>
      </c>
      <c r="F202" t="s">
        <v>12</v>
      </c>
      <c r="G202" t="s">
        <v>10</v>
      </c>
      <c r="H202">
        <v>52</v>
      </c>
      <c r="I202" s="2">
        <f>VLOOKUP(B202,users!$A$1:$B$366,2,0)</f>
        <v>45573</v>
      </c>
      <c r="J202" s="3" t="str">
        <f>IFERROR(VLOOKUP(C202, merchants!$A$1:$D$41, 3, FALSE), "Data Missing")</f>
        <v>food_delivery</v>
      </c>
      <c r="K202" s="3" t="str">
        <f>IFERROR(VLOOKUP(C202, merchants!$A$1:$D$41, 4, FALSE), "Data Missing")</f>
        <v>North</v>
      </c>
      <c r="L202" s="7">
        <f>HLOOKUP(F202,payment_method!$A$1:$E$2,2,0)</f>
        <v>0</v>
      </c>
      <c r="M202" s="3" t="str">
        <f>IF(AND(E202&gt;5000, L202&lt;&gt;"East"), "High-Value Merchant Day", "Normal Day")</f>
        <v>Normal Day</v>
      </c>
    </row>
    <row r="203" spans="1:13" x14ac:dyDescent="0.3">
      <c r="A203" t="s">
        <v>216</v>
      </c>
      <c r="B203">
        <v>217</v>
      </c>
      <c r="C203">
        <v>4</v>
      </c>
      <c r="D203" s="1">
        <v>46034.908333333333</v>
      </c>
      <c r="E203">
        <v>49</v>
      </c>
      <c r="F203" t="s">
        <v>12</v>
      </c>
      <c r="G203" t="s">
        <v>10</v>
      </c>
      <c r="H203">
        <v>36</v>
      </c>
      <c r="I203" s="2">
        <f>VLOOKUP(B203,users!$A$1:$B$366,2,0)</f>
        <v>45316</v>
      </c>
      <c r="J203" s="3" t="str">
        <f>IFERROR(VLOOKUP(C203, merchants!$A$1:$D$41, 3, FALSE), "Data Missing")</f>
        <v>ecommerce</v>
      </c>
      <c r="K203" s="3" t="str">
        <f>IFERROR(VLOOKUP(C203, merchants!$A$1:$D$41, 4, FALSE), "Data Missing")</f>
        <v>East</v>
      </c>
      <c r="L203" s="7">
        <f>HLOOKUP(F203,payment_method!$A$1:$E$2,2,0)</f>
        <v>0</v>
      </c>
      <c r="M203" s="3" t="str">
        <f>IF(AND(E203&gt;5000, L203&lt;&gt;"East"), "High-Value Merchant Day", "Normal Day")</f>
        <v>Normal Day</v>
      </c>
    </row>
    <row r="204" spans="1:13" x14ac:dyDescent="0.3">
      <c r="A204" t="s">
        <v>217</v>
      </c>
      <c r="B204">
        <v>54</v>
      </c>
      <c r="C204">
        <v>37</v>
      </c>
      <c r="D204" s="1">
        <v>46042.390277777777</v>
      </c>
      <c r="E204">
        <v>149</v>
      </c>
      <c r="F204" t="s">
        <v>12</v>
      </c>
      <c r="G204" t="s">
        <v>10</v>
      </c>
      <c r="H204">
        <v>64</v>
      </c>
      <c r="I204" s="2">
        <f>VLOOKUP(B204,users!$A$1:$B$366,2,0)</f>
        <v>45603</v>
      </c>
      <c r="J204" s="3" t="str">
        <f>IFERROR(VLOOKUP(C204, merchants!$A$1:$D$41, 3, FALSE), "Data Missing")</f>
        <v>entertainment</v>
      </c>
      <c r="K204" s="3" t="str">
        <f>IFERROR(VLOOKUP(C204, merchants!$A$1:$D$41, 4, FALSE), "Data Missing")</f>
        <v>South</v>
      </c>
      <c r="L204" s="7">
        <f>HLOOKUP(F204,payment_method!$A$1:$E$2,2,0)</f>
        <v>0</v>
      </c>
      <c r="M204" s="3" t="str">
        <f>IF(AND(E204&gt;5000, L204&lt;&gt;"East"), "High-Value Merchant Day", "Normal Day")</f>
        <v>Normal Day</v>
      </c>
    </row>
    <row r="205" spans="1:13" x14ac:dyDescent="0.3">
      <c r="A205" t="s">
        <v>218</v>
      </c>
      <c r="B205">
        <v>247</v>
      </c>
      <c r="C205">
        <v>15</v>
      </c>
      <c r="D205" s="1">
        <v>46029.195833333331</v>
      </c>
      <c r="E205">
        <v>49</v>
      </c>
      <c r="F205" t="s">
        <v>24</v>
      </c>
      <c r="G205" t="s">
        <v>10</v>
      </c>
      <c r="H205">
        <v>13</v>
      </c>
      <c r="I205" s="2">
        <f>VLOOKUP(B205,users!$A$1:$B$366,2,0)</f>
        <v>45741</v>
      </c>
      <c r="J205" s="3" t="str">
        <f>IFERROR(VLOOKUP(C205, merchants!$A$1:$D$41, 3, FALSE), "Data Missing")</f>
        <v>travel</v>
      </c>
      <c r="K205" s="3" t="str">
        <f>IFERROR(VLOOKUP(C205, merchants!$A$1:$D$41, 4, FALSE), "Data Missing")</f>
        <v>North</v>
      </c>
      <c r="L205" s="7">
        <f>HLOOKUP(F205,payment_method!$A$1:$E$2,2,0)</f>
        <v>0.02</v>
      </c>
      <c r="M205" s="3" t="str">
        <f>IF(AND(E205&gt;5000, L205&lt;&gt;"East"), "High-Value Merchant Day", "Normal Day")</f>
        <v>Normal Day</v>
      </c>
    </row>
    <row r="206" spans="1:13" x14ac:dyDescent="0.3">
      <c r="A206" t="s">
        <v>219</v>
      </c>
      <c r="B206">
        <v>59</v>
      </c>
      <c r="C206">
        <v>18</v>
      </c>
      <c r="D206" s="1">
        <v>46034.724305555559</v>
      </c>
      <c r="E206">
        <v>49</v>
      </c>
      <c r="F206" t="s">
        <v>24</v>
      </c>
      <c r="G206" t="s">
        <v>10</v>
      </c>
      <c r="H206">
        <v>73</v>
      </c>
      <c r="I206" s="2">
        <f>VLOOKUP(B206,users!$A$1:$B$366,2,0)</f>
        <v>45427</v>
      </c>
      <c r="J206" s="3" t="str">
        <f>IFERROR(VLOOKUP(C206, merchants!$A$1:$D$41, 3, FALSE), "Data Missing")</f>
        <v>grocery</v>
      </c>
      <c r="K206" s="3" t="str">
        <f>IFERROR(VLOOKUP(C206, merchants!$A$1:$D$41, 4, FALSE), "Data Missing")</f>
        <v>West</v>
      </c>
      <c r="L206" s="7">
        <f>HLOOKUP(F206,payment_method!$A$1:$E$2,2,0)</f>
        <v>0.02</v>
      </c>
      <c r="M206" s="3" t="str">
        <f>IF(AND(E206&gt;5000, L206&lt;&gt;"East"), "High-Value Merchant Day", "Normal Day")</f>
        <v>Normal Day</v>
      </c>
    </row>
    <row r="207" spans="1:13" x14ac:dyDescent="0.3">
      <c r="A207" t="s">
        <v>220</v>
      </c>
      <c r="B207">
        <v>288</v>
      </c>
      <c r="C207">
        <v>40</v>
      </c>
      <c r="D207" s="1">
        <v>46030.57916666667</v>
      </c>
      <c r="E207">
        <v>49</v>
      </c>
      <c r="F207" t="s">
        <v>12</v>
      </c>
      <c r="G207" t="s">
        <v>25</v>
      </c>
      <c r="H207">
        <v>78</v>
      </c>
      <c r="I207" s="2">
        <f>VLOOKUP(B207,users!$A$1:$B$366,2,0)</f>
        <v>45702</v>
      </c>
      <c r="J207" s="3" t="str">
        <f>IFERROR(VLOOKUP(C207, merchants!$A$1:$D$41, 3, FALSE), "Data Missing")</f>
        <v>entertainment</v>
      </c>
      <c r="K207" s="3" t="str">
        <f>IFERROR(VLOOKUP(C207, merchants!$A$1:$D$41, 4, FALSE), "Data Missing")</f>
        <v>South</v>
      </c>
      <c r="L207" s="7">
        <f>HLOOKUP(F207,payment_method!$A$1:$E$2,2,0)</f>
        <v>0</v>
      </c>
      <c r="M207" s="3" t="str">
        <f>IF(AND(E207&gt;5000, L207&lt;&gt;"East"), "High-Value Merchant Day", "Normal Day")</f>
        <v>Normal Day</v>
      </c>
    </row>
    <row r="208" spans="1:13" x14ac:dyDescent="0.3">
      <c r="A208" t="s">
        <v>221</v>
      </c>
      <c r="B208">
        <v>14</v>
      </c>
      <c r="C208">
        <v>39</v>
      </c>
      <c r="D208" s="1">
        <v>46044.857638888891</v>
      </c>
      <c r="E208">
        <v>799</v>
      </c>
      <c r="F208" t="s">
        <v>12</v>
      </c>
      <c r="G208" t="s">
        <v>10</v>
      </c>
      <c r="H208">
        <v>84</v>
      </c>
      <c r="I208" s="2">
        <f>VLOOKUP(B208,users!$A$1:$B$366,2,0)</f>
        <v>45670</v>
      </c>
      <c r="J208" s="3" t="str">
        <f>IFERROR(VLOOKUP(C208, merchants!$A$1:$D$41, 3, FALSE), "Data Missing")</f>
        <v>entertainment</v>
      </c>
      <c r="K208" s="3" t="str">
        <f>IFERROR(VLOOKUP(C208, merchants!$A$1:$D$41, 4, FALSE), "Data Missing")</f>
        <v>North</v>
      </c>
      <c r="L208" s="7">
        <f>HLOOKUP(F208,payment_method!$A$1:$E$2,2,0)</f>
        <v>0</v>
      </c>
      <c r="M208" s="3" t="str">
        <f>IF(AND(E208&gt;5000, L208&lt;&gt;"East"), "High-Value Merchant Day", "Normal Day")</f>
        <v>Normal Day</v>
      </c>
    </row>
    <row r="209" spans="1:13" x14ac:dyDescent="0.3">
      <c r="A209" t="s">
        <v>222</v>
      </c>
      <c r="B209">
        <v>15</v>
      </c>
      <c r="C209">
        <v>12</v>
      </c>
      <c r="D209" s="1">
        <v>46049.928472222222</v>
      </c>
      <c r="E209">
        <v>149</v>
      </c>
      <c r="F209" t="s">
        <v>12</v>
      </c>
      <c r="G209" t="s">
        <v>10</v>
      </c>
      <c r="H209">
        <v>34</v>
      </c>
      <c r="I209" s="2">
        <f>VLOOKUP(B209,users!$A$1:$B$366,2,0)</f>
        <v>45583</v>
      </c>
      <c r="J209" s="3" t="str">
        <f>IFERROR(VLOOKUP(C209, merchants!$A$1:$D$41, 3, FALSE), "Data Missing")</f>
        <v>ecommerce</v>
      </c>
      <c r="K209" s="3" t="str">
        <f>IFERROR(VLOOKUP(C209, merchants!$A$1:$D$41, 4, FALSE), "Data Missing")</f>
        <v>East</v>
      </c>
      <c r="L209" s="7">
        <f>HLOOKUP(F209,payment_method!$A$1:$E$2,2,0)</f>
        <v>0</v>
      </c>
      <c r="M209" s="3" t="str">
        <f>IF(AND(E209&gt;5000, L209&lt;&gt;"East"), "High-Value Merchant Day", "Normal Day")</f>
        <v>Normal Day</v>
      </c>
    </row>
    <row r="210" spans="1:13" x14ac:dyDescent="0.3">
      <c r="A210" t="s">
        <v>223</v>
      </c>
      <c r="B210">
        <v>174</v>
      </c>
      <c r="C210">
        <v>23</v>
      </c>
      <c r="D210" s="1">
        <v>46045.415277777778</v>
      </c>
      <c r="E210">
        <v>149</v>
      </c>
      <c r="F210" t="s">
        <v>12</v>
      </c>
      <c r="G210" t="s">
        <v>10</v>
      </c>
      <c r="H210">
        <v>0</v>
      </c>
      <c r="I210" s="2">
        <f>VLOOKUP(B210,users!$A$1:$B$366,2,0)</f>
        <v>45332</v>
      </c>
      <c r="J210" s="3" t="str">
        <f>IFERROR(VLOOKUP(C210, merchants!$A$1:$D$41, 3, FALSE), "Data Missing")</f>
        <v>travel</v>
      </c>
      <c r="K210" s="3" t="str">
        <f>IFERROR(VLOOKUP(C210, merchants!$A$1:$D$41, 4, FALSE), "Data Missing")</f>
        <v>North</v>
      </c>
      <c r="L210" s="7">
        <f>HLOOKUP(F210,payment_method!$A$1:$E$2,2,0)</f>
        <v>0</v>
      </c>
      <c r="M210" s="3" t="str">
        <f>IF(AND(E210&gt;5000, L210&lt;&gt;"East"), "High-Value Merchant Day", "Normal Day")</f>
        <v>Normal Day</v>
      </c>
    </row>
    <row r="211" spans="1:13" x14ac:dyDescent="0.3">
      <c r="A211" t="s">
        <v>224</v>
      </c>
      <c r="B211">
        <v>337</v>
      </c>
      <c r="C211">
        <v>26</v>
      </c>
      <c r="D211" s="1">
        <v>46028.191666666666</v>
      </c>
      <c r="E211">
        <v>49</v>
      </c>
      <c r="F211" t="s">
        <v>12</v>
      </c>
      <c r="G211" t="s">
        <v>10</v>
      </c>
      <c r="H211">
        <v>8</v>
      </c>
      <c r="I211" s="2">
        <f>VLOOKUP(B211,users!$A$1:$B$366,2,0)</f>
        <v>45916</v>
      </c>
      <c r="J211" s="3" t="str">
        <f>IFERROR(VLOOKUP(C211, merchants!$A$1:$D$41, 3, FALSE), "Data Missing")</f>
        <v>food_delivery</v>
      </c>
      <c r="K211" s="3" t="str">
        <f>IFERROR(VLOOKUP(C211, merchants!$A$1:$D$41, 4, FALSE), "Data Missing")</f>
        <v>East</v>
      </c>
      <c r="L211" s="7">
        <f>HLOOKUP(F211,payment_method!$A$1:$E$2,2,0)</f>
        <v>0</v>
      </c>
      <c r="M211" s="3" t="str">
        <f>IF(AND(E211&gt;5000, L211&lt;&gt;"East"), "High-Value Merchant Day", "Normal Day")</f>
        <v>Normal Day</v>
      </c>
    </row>
    <row r="212" spans="1:13" x14ac:dyDescent="0.3">
      <c r="A212" t="s">
        <v>225</v>
      </c>
      <c r="B212">
        <v>16</v>
      </c>
      <c r="C212">
        <v>6</v>
      </c>
      <c r="D212" s="1">
        <v>46027.986111111109</v>
      </c>
      <c r="E212">
        <v>1499</v>
      </c>
      <c r="F212" t="s">
        <v>12</v>
      </c>
      <c r="G212" t="s">
        <v>10</v>
      </c>
      <c r="H212">
        <v>95</v>
      </c>
      <c r="I212" s="2">
        <f>VLOOKUP(B212,users!$A$1:$B$366,2,0)</f>
        <v>45719</v>
      </c>
      <c r="J212" s="3" t="str">
        <f>IFERROR(VLOOKUP(C212, merchants!$A$1:$D$41, 3, FALSE), "Data Missing")</f>
        <v>food_delivery</v>
      </c>
      <c r="K212" s="3" t="str">
        <f>IFERROR(VLOOKUP(C212, merchants!$A$1:$D$41, 4, FALSE), "Data Missing")</f>
        <v>South</v>
      </c>
      <c r="L212" s="7">
        <f>HLOOKUP(F212,payment_method!$A$1:$E$2,2,0)</f>
        <v>0</v>
      </c>
      <c r="M212" s="3" t="str">
        <f>IF(AND(E212&gt;5000, L212&lt;&gt;"East"), "High-Value Merchant Day", "Normal Day")</f>
        <v>Normal Day</v>
      </c>
    </row>
    <row r="213" spans="1:13" x14ac:dyDescent="0.3">
      <c r="A213" t="s">
        <v>226</v>
      </c>
      <c r="B213">
        <v>215</v>
      </c>
      <c r="C213">
        <v>30</v>
      </c>
      <c r="D213" s="1">
        <v>46039.26666666667</v>
      </c>
      <c r="E213">
        <v>49</v>
      </c>
      <c r="F213" t="s">
        <v>12</v>
      </c>
      <c r="G213" t="s">
        <v>10</v>
      </c>
      <c r="H213">
        <v>43</v>
      </c>
      <c r="I213" s="2">
        <f>VLOOKUP(B213,users!$A$1:$B$366,2,0)</f>
        <v>45560</v>
      </c>
      <c r="J213" s="3" t="str">
        <f>IFERROR(VLOOKUP(C213, merchants!$A$1:$D$41, 3, FALSE), "Data Missing")</f>
        <v>travel</v>
      </c>
      <c r="K213" s="3" t="str">
        <f>IFERROR(VLOOKUP(C213, merchants!$A$1:$D$41, 4, FALSE), "Data Missing")</f>
        <v>West</v>
      </c>
      <c r="L213" s="7">
        <f>HLOOKUP(F213,payment_method!$A$1:$E$2,2,0)</f>
        <v>0</v>
      </c>
      <c r="M213" s="3" t="str">
        <f>IF(AND(E213&gt;5000, L213&lt;&gt;"East"), "High-Value Merchant Day", "Normal Day")</f>
        <v>Normal Day</v>
      </c>
    </row>
    <row r="214" spans="1:13" x14ac:dyDescent="0.3">
      <c r="A214" t="s">
        <v>227</v>
      </c>
      <c r="B214">
        <v>167</v>
      </c>
      <c r="C214">
        <v>37</v>
      </c>
      <c r="D214" s="1">
        <v>46028.47152777778</v>
      </c>
      <c r="E214">
        <v>99</v>
      </c>
      <c r="F214" t="s">
        <v>12</v>
      </c>
      <c r="G214" t="s">
        <v>10</v>
      </c>
      <c r="H214">
        <v>76</v>
      </c>
      <c r="I214" s="2">
        <f>VLOOKUP(B214,users!$A$1:$B$366,2,0)</f>
        <v>45631</v>
      </c>
      <c r="J214" s="3" t="str">
        <f>IFERROR(VLOOKUP(C214, merchants!$A$1:$D$41, 3, FALSE), "Data Missing")</f>
        <v>entertainment</v>
      </c>
      <c r="K214" s="3" t="str">
        <f>IFERROR(VLOOKUP(C214, merchants!$A$1:$D$41, 4, FALSE), "Data Missing")</f>
        <v>South</v>
      </c>
      <c r="L214" s="7">
        <f>HLOOKUP(F214,payment_method!$A$1:$E$2,2,0)</f>
        <v>0</v>
      </c>
      <c r="M214" s="3" t="str">
        <f>IF(AND(E214&gt;5000, L214&lt;&gt;"East"), "High-Value Merchant Day", "Normal Day")</f>
        <v>Normal Day</v>
      </c>
    </row>
    <row r="215" spans="1:13" x14ac:dyDescent="0.3">
      <c r="A215" t="s">
        <v>228</v>
      </c>
      <c r="B215">
        <v>81</v>
      </c>
      <c r="C215">
        <v>40</v>
      </c>
      <c r="D215" s="1">
        <v>46025.04791666667</v>
      </c>
      <c r="E215">
        <v>49</v>
      </c>
      <c r="F215" t="s">
        <v>12</v>
      </c>
      <c r="G215" t="s">
        <v>10</v>
      </c>
      <c r="H215">
        <v>6</v>
      </c>
      <c r="I215" s="2">
        <f>VLOOKUP(B215,users!$A$1:$B$366,2,0)</f>
        <v>45339</v>
      </c>
      <c r="J215" s="3" t="str">
        <f>IFERROR(VLOOKUP(C215, merchants!$A$1:$D$41, 3, FALSE), "Data Missing")</f>
        <v>entertainment</v>
      </c>
      <c r="K215" s="3" t="str">
        <f>IFERROR(VLOOKUP(C215, merchants!$A$1:$D$41, 4, FALSE), "Data Missing")</f>
        <v>South</v>
      </c>
      <c r="L215" s="7">
        <f>HLOOKUP(F215,payment_method!$A$1:$E$2,2,0)</f>
        <v>0</v>
      </c>
      <c r="M215" s="3" t="str">
        <f>IF(AND(E215&gt;5000, L215&lt;&gt;"East"), "High-Value Merchant Day", "Normal Day")</f>
        <v>Normal Day</v>
      </c>
    </row>
    <row r="216" spans="1:13" x14ac:dyDescent="0.3">
      <c r="A216" t="s">
        <v>229</v>
      </c>
      <c r="B216">
        <v>227</v>
      </c>
      <c r="C216">
        <v>28</v>
      </c>
      <c r="D216" s="1">
        <v>46044.095138888886</v>
      </c>
      <c r="E216">
        <v>99</v>
      </c>
      <c r="F216" t="s">
        <v>12</v>
      </c>
      <c r="G216" t="s">
        <v>10</v>
      </c>
      <c r="H216">
        <v>62</v>
      </c>
      <c r="I216" s="2">
        <f>VLOOKUP(B216,users!$A$1:$B$366,2,0)</f>
        <v>45672</v>
      </c>
      <c r="J216" s="3" t="str">
        <f>IFERROR(VLOOKUP(C216, merchants!$A$1:$D$41, 3, FALSE), "Data Missing")</f>
        <v>ecommerce</v>
      </c>
      <c r="K216" s="3" t="str">
        <f>IFERROR(VLOOKUP(C216, merchants!$A$1:$D$41, 4, FALSE), "Data Missing")</f>
        <v>South</v>
      </c>
      <c r="L216" s="7">
        <f>HLOOKUP(F216,payment_method!$A$1:$E$2,2,0)</f>
        <v>0</v>
      </c>
      <c r="M216" s="3" t="str">
        <f>IF(AND(E216&gt;5000, L216&lt;&gt;"East"), "High-Value Merchant Day", "Normal Day")</f>
        <v>Normal Day</v>
      </c>
    </row>
    <row r="217" spans="1:13" x14ac:dyDescent="0.3">
      <c r="A217" t="s">
        <v>230</v>
      </c>
      <c r="B217">
        <v>140</v>
      </c>
      <c r="C217">
        <v>14</v>
      </c>
      <c r="D217" s="1">
        <v>46042.601388888892</v>
      </c>
      <c r="E217">
        <v>299</v>
      </c>
      <c r="F217" t="s">
        <v>9</v>
      </c>
      <c r="G217" t="s">
        <v>10</v>
      </c>
      <c r="H217">
        <v>96</v>
      </c>
      <c r="I217" s="2">
        <f>VLOOKUP(B217,users!$A$1:$B$366,2,0)</f>
        <v>45921</v>
      </c>
      <c r="J217" s="3" t="str">
        <f>IFERROR(VLOOKUP(C217, merchants!$A$1:$D$41, 3, FALSE), "Data Missing")</f>
        <v>grocery</v>
      </c>
      <c r="K217" s="3" t="str">
        <f>IFERROR(VLOOKUP(C217, merchants!$A$1:$D$41, 4, FALSE), "Data Missing")</f>
        <v>East</v>
      </c>
      <c r="L217" s="7">
        <f>HLOOKUP(F217,payment_method!$A$1:$E$2,2,0)</f>
        <v>1.2E-2</v>
      </c>
      <c r="M217" s="3" t="str">
        <f>IF(AND(E217&gt;5000, L217&lt;&gt;"East"), "High-Value Merchant Day", "Normal Day")</f>
        <v>Normal Day</v>
      </c>
    </row>
    <row r="218" spans="1:13" x14ac:dyDescent="0.3">
      <c r="A218" t="s">
        <v>231</v>
      </c>
      <c r="B218">
        <v>221</v>
      </c>
      <c r="C218">
        <v>8</v>
      </c>
      <c r="D218" s="1">
        <v>46039.140277777777</v>
      </c>
      <c r="E218">
        <v>299</v>
      </c>
      <c r="F218" t="s">
        <v>12</v>
      </c>
      <c r="G218" t="s">
        <v>10</v>
      </c>
      <c r="H218">
        <v>36</v>
      </c>
      <c r="I218" s="2">
        <f>VLOOKUP(B218,users!$A$1:$B$366,2,0)</f>
        <v>45690</v>
      </c>
      <c r="J218" s="3" t="str">
        <f>IFERROR(VLOOKUP(C218, merchants!$A$1:$D$41, 3, FALSE), "Data Missing")</f>
        <v>food_delivery</v>
      </c>
      <c r="K218" s="3" t="str">
        <f>IFERROR(VLOOKUP(C218, merchants!$A$1:$D$41, 4, FALSE), "Data Missing")</f>
        <v>North</v>
      </c>
      <c r="L218" s="7">
        <f>HLOOKUP(F218,payment_method!$A$1:$E$2,2,0)</f>
        <v>0</v>
      </c>
      <c r="M218" s="3" t="str">
        <f>IF(AND(E218&gt;5000, L218&lt;&gt;"East"), "High-Value Merchant Day", "Normal Day")</f>
        <v>Normal Day</v>
      </c>
    </row>
    <row r="219" spans="1:13" x14ac:dyDescent="0.3">
      <c r="A219" t="s">
        <v>232</v>
      </c>
      <c r="B219">
        <v>250</v>
      </c>
      <c r="C219">
        <v>34</v>
      </c>
      <c r="D219" s="1">
        <v>46044.900694444441</v>
      </c>
      <c r="E219">
        <v>299</v>
      </c>
      <c r="F219" t="s">
        <v>9</v>
      </c>
      <c r="G219" t="s">
        <v>10</v>
      </c>
      <c r="H219">
        <v>85</v>
      </c>
      <c r="I219" s="2">
        <f>VLOOKUP(B219,users!$A$1:$B$366,2,0)</f>
        <v>45953</v>
      </c>
      <c r="J219" s="3" t="str">
        <f>IFERROR(VLOOKUP(C219, merchants!$A$1:$D$41, 3, FALSE), "Data Missing")</f>
        <v>travel</v>
      </c>
      <c r="K219" s="3" t="str">
        <f>IFERROR(VLOOKUP(C219, merchants!$A$1:$D$41, 4, FALSE), "Data Missing")</f>
        <v>South</v>
      </c>
      <c r="L219" s="7">
        <f>HLOOKUP(F219,payment_method!$A$1:$E$2,2,0)</f>
        <v>1.2E-2</v>
      </c>
      <c r="M219" s="3" t="str">
        <f>IF(AND(E219&gt;5000, L219&lt;&gt;"East"), "High-Value Merchant Day", "Normal Day")</f>
        <v>Normal Day</v>
      </c>
    </row>
    <row r="220" spans="1:13" x14ac:dyDescent="0.3">
      <c r="A220" t="s">
        <v>233</v>
      </c>
      <c r="B220">
        <v>203</v>
      </c>
      <c r="C220">
        <v>39</v>
      </c>
      <c r="D220" s="1">
        <v>46032.051388888889</v>
      </c>
      <c r="E220">
        <v>49</v>
      </c>
      <c r="F220" t="s">
        <v>12</v>
      </c>
      <c r="G220" t="s">
        <v>10</v>
      </c>
      <c r="H220">
        <v>7</v>
      </c>
      <c r="I220" s="2">
        <f>VLOOKUP(B220,users!$A$1:$B$366,2,0)</f>
        <v>45496</v>
      </c>
      <c r="J220" s="3" t="str">
        <f>IFERROR(VLOOKUP(C220, merchants!$A$1:$D$41, 3, FALSE), "Data Missing")</f>
        <v>entertainment</v>
      </c>
      <c r="K220" s="3" t="str">
        <f>IFERROR(VLOOKUP(C220, merchants!$A$1:$D$41, 4, FALSE), "Data Missing")</f>
        <v>North</v>
      </c>
      <c r="L220" s="7">
        <f>HLOOKUP(F220,payment_method!$A$1:$E$2,2,0)</f>
        <v>0</v>
      </c>
      <c r="M220" s="3" t="str">
        <f>IF(AND(E220&gt;5000, L220&lt;&gt;"East"), "High-Value Merchant Day", "Normal Day")</f>
        <v>Normal Day</v>
      </c>
    </row>
    <row r="221" spans="1:13" x14ac:dyDescent="0.3">
      <c r="A221" t="s">
        <v>234</v>
      </c>
      <c r="B221">
        <v>109</v>
      </c>
      <c r="C221">
        <v>9</v>
      </c>
      <c r="D221" s="1">
        <v>46023.263194444444</v>
      </c>
      <c r="E221">
        <v>499</v>
      </c>
      <c r="F221" t="s">
        <v>9</v>
      </c>
      <c r="G221" t="s">
        <v>10</v>
      </c>
      <c r="H221">
        <v>97</v>
      </c>
      <c r="I221" s="2">
        <f>VLOOKUP(B221,users!$A$1:$B$366,2,0)</f>
        <v>45318</v>
      </c>
      <c r="J221" s="3" t="str">
        <f>IFERROR(VLOOKUP(C221, merchants!$A$1:$D$41, 3, FALSE), "Data Missing")</f>
        <v>ecommerce</v>
      </c>
      <c r="K221" s="3" t="str">
        <f>IFERROR(VLOOKUP(C221, merchants!$A$1:$D$41, 4, FALSE), "Data Missing")</f>
        <v>North</v>
      </c>
      <c r="L221" s="7">
        <f>HLOOKUP(F221,payment_method!$A$1:$E$2,2,0)</f>
        <v>1.2E-2</v>
      </c>
      <c r="M221" s="3" t="str">
        <f>IF(AND(E221&gt;5000, L221&lt;&gt;"East"), "High-Value Merchant Day", "Normal Day")</f>
        <v>Normal Day</v>
      </c>
    </row>
    <row r="222" spans="1:13" x14ac:dyDescent="0.3">
      <c r="A222" t="s">
        <v>235</v>
      </c>
      <c r="B222">
        <v>62</v>
      </c>
      <c r="C222">
        <v>1</v>
      </c>
      <c r="D222" s="1">
        <v>46031.388888888891</v>
      </c>
      <c r="E222">
        <v>4999</v>
      </c>
      <c r="F222" t="s">
        <v>9</v>
      </c>
      <c r="G222" t="s">
        <v>10</v>
      </c>
      <c r="H222">
        <v>63</v>
      </c>
      <c r="I222" s="2">
        <f>VLOOKUP(B222,users!$A$1:$B$366,2,0)</f>
        <v>45876</v>
      </c>
      <c r="J222" s="3" t="str">
        <f>IFERROR(VLOOKUP(C222, merchants!$A$1:$D$41, 3, FALSE), "Data Missing")</f>
        <v>ecommerce</v>
      </c>
      <c r="K222" s="3" t="str">
        <f>IFERROR(VLOOKUP(C222, merchants!$A$1:$D$41, 4, FALSE), "Data Missing")</f>
        <v>South</v>
      </c>
      <c r="L222" s="7">
        <f>HLOOKUP(F222,payment_method!$A$1:$E$2,2,0)</f>
        <v>1.2E-2</v>
      </c>
      <c r="M222" s="3" t="str">
        <f>IF(AND(E222&gt;5000, L222&lt;&gt;"East"), "High-Value Merchant Day", "Normal Day")</f>
        <v>Normal Day</v>
      </c>
    </row>
    <row r="223" spans="1:13" x14ac:dyDescent="0.3">
      <c r="A223" t="s">
        <v>236</v>
      </c>
      <c r="B223">
        <v>67</v>
      </c>
      <c r="C223">
        <v>25</v>
      </c>
      <c r="D223" s="1">
        <v>46046.549305555556</v>
      </c>
      <c r="E223">
        <v>49</v>
      </c>
      <c r="F223" t="s">
        <v>12</v>
      </c>
      <c r="G223" t="s">
        <v>10</v>
      </c>
      <c r="H223">
        <v>68</v>
      </c>
      <c r="I223" s="2">
        <f>VLOOKUP(B223,users!$A$1:$B$366,2,0)</f>
        <v>45645</v>
      </c>
      <c r="J223" s="3" t="str">
        <f>IFERROR(VLOOKUP(C223, merchants!$A$1:$D$41, 3, FALSE), "Data Missing")</f>
        <v>travel</v>
      </c>
      <c r="K223" s="3" t="str">
        <f>IFERROR(VLOOKUP(C223, merchants!$A$1:$D$41, 4, FALSE), "Data Missing")</f>
        <v>South</v>
      </c>
      <c r="L223" s="7">
        <f>HLOOKUP(F223,payment_method!$A$1:$E$2,2,0)</f>
        <v>0</v>
      </c>
      <c r="M223" s="3" t="str">
        <f>IF(AND(E223&gt;5000, L223&lt;&gt;"East"), "High-Value Merchant Day", "Normal Day")</f>
        <v>Normal Day</v>
      </c>
    </row>
    <row r="224" spans="1:13" x14ac:dyDescent="0.3">
      <c r="A224" t="s">
        <v>237</v>
      </c>
      <c r="B224">
        <v>287</v>
      </c>
      <c r="C224">
        <v>23</v>
      </c>
      <c r="D224" s="1">
        <v>46045.313888888886</v>
      </c>
      <c r="E224">
        <v>49</v>
      </c>
      <c r="F224" t="s">
        <v>12</v>
      </c>
      <c r="G224" t="s">
        <v>10</v>
      </c>
      <c r="H224">
        <v>9</v>
      </c>
      <c r="I224" s="2">
        <f>VLOOKUP(B224,users!$A$1:$B$366,2,0)</f>
        <v>45615</v>
      </c>
      <c r="J224" s="3" t="str">
        <f>IFERROR(VLOOKUP(C224, merchants!$A$1:$D$41, 3, FALSE), "Data Missing")</f>
        <v>travel</v>
      </c>
      <c r="K224" s="3" t="str">
        <f>IFERROR(VLOOKUP(C224, merchants!$A$1:$D$41, 4, FALSE), "Data Missing")</f>
        <v>North</v>
      </c>
      <c r="L224" s="7">
        <f>HLOOKUP(F224,payment_method!$A$1:$E$2,2,0)</f>
        <v>0</v>
      </c>
      <c r="M224" s="3" t="str">
        <f>IF(AND(E224&gt;5000, L224&lt;&gt;"East"), "High-Value Merchant Day", "Normal Day")</f>
        <v>Normal Day</v>
      </c>
    </row>
    <row r="225" spans="1:13" x14ac:dyDescent="0.3">
      <c r="A225" t="s">
        <v>238</v>
      </c>
      <c r="B225">
        <v>224</v>
      </c>
      <c r="C225">
        <v>2</v>
      </c>
      <c r="D225" s="1">
        <v>46035.959722222222</v>
      </c>
      <c r="E225">
        <v>49</v>
      </c>
      <c r="F225" t="s">
        <v>24</v>
      </c>
      <c r="G225" t="s">
        <v>10</v>
      </c>
      <c r="H225">
        <v>58</v>
      </c>
      <c r="I225" s="2">
        <f>VLOOKUP(B225,users!$A$1:$B$366,2,0)</f>
        <v>45400</v>
      </c>
      <c r="J225" s="3" t="str">
        <f>IFERROR(VLOOKUP(C225, merchants!$A$1:$D$41, 3, FALSE), "Data Missing")</f>
        <v>grocery</v>
      </c>
      <c r="K225" s="3" t="str">
        <f>IFERROR(VLOOKUP(C225, merchants!$A$1:$D$41, 4, FALSE), "Data Missing")</f>
        <v>West</v>
      </c>
      <c r="L225" s="7">
        <f>HLOOKUP(F225,payment_method!$A$1:$E$2,2,0)</f>
        <v>0.02</v>
      </c>
      <c r="M225" s="3" t="str">
        <f>IF(AND(E225&gt;5000, L225&lt;&gt;"East"), "High-Value Merchant Day", "Normal Day")</f>
        <v>Normal Day</v>
      </c>
    </row>
    <row r="226" spans="1:13" x14ac:dyDescent="0.3">
      <c r="A226" t="s">
        <v>239</v>
      </c>
      <c r="B226">
        <v>161</v>
      </c>
      <c r="C226">
        <v>37</v>
      </c>
      <c r="D226" s="1">
        <v>46052.121527777781</v>
      </c>
      <c r="E226">
        <v>299</v>
      </c>
      <c r="F226" t="s">
        <v>12</v>
      </c>
      <c r="G226" t="s">
        <v>10</v>
      </c>
      <c r="H226">
        <v>54</v>
      </c>
      <c r="I226" s="2">
        <f>VLOOKUP(B226,users!$A$1:$B$366,2,0)</f>
        <v>45577</v>
      </c>
      <c r="J226" s="3" t="str">
        <f>IFERROR(VLOOKUP(C226, merchants!$A$1:$D$41, 3, FALSE), "Data Missing")</f>
        <v>entertainment</v>
      </c>
      <c r="K226" s="3" t="str">
        <f>IFERROR(VLOOKUP(C226, merchants!$A$1:$D$41, 4, FALSE), "Data Missing")</f>
        <v>South</v>
      </c>
      <c r="L226" s="7">
        <f>HLOOKUP(F226,payment_method!$A$1:$E$2,2,0)</f>
        <v>0</v>
      </c>
      <c r="M226" s="3" t="str">
        <f>IF(AND(E226&gt;5000, L226&lt;&gt;"East"), "High-Value Merchant Day", "Normal Day")</f>
        <v>Normal Day</v>
      </c>
    </row>
    <row r="227" spans="1:13" x14ac:dyDescent="0.3">
      <c r="A227" t="s">
        <v>240</v>
      </c>
      <c r="B227">
        <v>328</v>
      </c>
      <c r="C227">
        <v>27</v>
      </c>
      <c r="D227" s="1">
        <v>46041.53125</v>
      </c>
      <c r="E227">
        <v>49</v>
      </c>
      <c r="F227" t="s">
        <v>12</v>
      </c>
      <c r="G227" t="s">
        <v>38</v>
      </c>
      <c r="H227">
        <v>37</v>
      </c>
      <c r="I227" s="2">
        <f>VLOOKUP(B227,users!$A$1:$B$366,2,0)</f>
        <v>45341</v>
      </c>
      <c r="J227" s="3" t="str">
        <f>IFERROR(VLOOKUP(C227, merchants!$A$1:$D$41, 3, FALSE), "Data Missing")</f>
        <v>ecommerce</v>
      </c>
      <c r="K227" s="3" t="str">
        <f>IFERROR(VLOOKUP(C227, merchants!$A$1:$D$41, 4, FALSE), "Data Missing")</f>
        <v>North</v>
      </c>
      <c r="L227" s="7">
        <f>HLOOKUP(F227,payment_method!$A$1:$E$2,2,0)</f>
        <v>0</v>
      </c>
      <c r="M227" s="3" t="str">
        <f>IF(AND(E227&gt;5000, L227&lt;&gt;"East"), "High-Value Merchant Day", "Normal Day")</f>
        <v>Normal Day</v>
      </c>
    </row>
    <row r="228" spans="1:13" x14ac:dyDescent="0.3">
      <c r="A228" t="s">
        <v>241</v>
      </c>
      <c r="B228">
        <v>167</v>
      </c>
      <c r="C228">
        <v>11</v>
      </c>
      <c r="D228" s="1">
        <v>46026.500694444447</v>
      </c>
      <c r="E228">
        <v>1499</v>
      </c>
      <c r="F228" t="s">
        <v>24</v>
      </c>
      <c r="G228" t="s">
        <v>25</v>
      </c>
      <c r="H228">
        <v>79</v>
      </c>
      <c r="I228" s="2">
        <f>VLOOKUP(B228,users!$A$1:$B$366,2,0)</f>
        <v>45631</v>
      </c>
      <c r="J228" s="3" t="str">
        <f>IFERROR(VLOOKUP(C228, merchants!$A$1:$D$41, 3, FALSE), "Data Missing")</f>
        <v>ecommerce</v>
      </c>
      <c r="K228" s="3" t="str">
        <f>IFERROR(VLOOKUP(C228, merchants!$A$1:$D$41, 4, FALSE), "Data Missing")</f>
        <v>North</v>
      </c>
      <c r="L228" s="7">
        <f>HLOOKUP(F228,payment_method!$A$1:$E$2,2,0)</f>
        <v>0.02</v>
      </c>
      <c r="M228" s="3" t="str">
        <f>IF(AND(E228&gt;5000, L228&lt;&gt;"East"), "High-Value Merchant Day", "Normal Day")</f>
        <v>Normal Day</v>
      </c>
    </row>
    <row r="229" spans="1:13" x14ac:dyDescent="0.3">
      <c r="A229" t="s">
        <v>242</v>
      </c>
      <c r="B229">
        <v>186</v>
      </c>
      <c r="C229">
        <v>6</v>
      </c>
      <c r="D229" s="1">
        <v>46037.956944444442</v>
      </c>
      <c r="E229">
        <v>49</v>
      </c>
      <c r="F229" t="s">
        <v>9</v>
      </c>
      <c r="G229" t="s">
        <v>10</v>
      </c>
      <c r="H229">
        <v>55</v>
      </c>
      <c r="I229" s="2">
        <f>VLOOKUP(B229,users!$A$1:$B$366,2,0)</f>
        <v>45561</v>
      </c>
      <c r="J229" s="3" t="str">
        <f>IFERROR(VLOOKUP(C229, merchants!$A$1:$D$41, 3, FALSE), "Data Missing")</f>
        <v>food_delivery</v>
      </c>
      <c r="K229" s="3" t="str">
        <f>IFERROR(VLOOKUP(C229, merchants!$A$1:$D$41, 4, FALSE), "Data Missing")</f>
        <v>South</v>
      </c>
      <c r="L229" s="7">
        <f>HLOOKUP(F229,payment_method!$A$1:$E$2,2,0)</f>
        <v>1.2E-2</v>
      </c>
      <c r="M229" s="3" t="str">
        <f>IF(AND(E229&gt;5000, L229&lt;&gt;"East"), "High-Value Merchant Day", "Normal Day")</f>
        <v>Normal Day</v>
      </c>
    </row>
    <row r="230" spans="1:13" x14ac:dyDescent="0.3">
      <c r="A230" t="s">
        <v>243</v>
      </c>
      <c r="B230">
        <v>224</v>
      </c>
      <c r="C230">
        <v>38</v>
      </c>
      <c r="D230" s="1">
        <v>46050.135416666664</v>
      </c>
      <c r="E230">
        <v>299</v>
      </c>
      <c r="F230" t="s">
        <v>9</v>
      </c>
      <c r="G230" t="s">
        <v>25</v>
      </c>
      <c r="H230">
        <v>51</v>
      </c>
      <c r="I230" s="2">
        <f>VLOOKUP(B230,users!$A$1:$B$366,2,0)</f>
        <v>45400</v>
      </c>
      <c r="J230" s="3" t="str">
        <f>IFERROR(VLOOKUP(C230, merchants!$A$1:$D$41, 3, FALSE), "Data Missing")</f>
        <v>grocery</v>
      </c>
      <c r="K230" s="3" t="str">
        <f>IFERROR(VLOOKUP(C230, merchants!$A$1:$D$41, 4, FALSE), "Data Missing")</f>
        <v>East</v>
      </c>
      <c r="L230" s="7">
        <f>HLOOKUP(F230,payment_method!$A$1:$E$2,2,0)</f>
        <v>1.2E-2</v>
      </c>
      <c r="M230" s="3" t="str">
        <f>IF(AND(E230&gt;5000, L230&lt;&gt;"East"), "High-Value Merchant Day", "Normal Day")</f>
        <v>Normal Day</v>
      </c>
    </row>
    <row r="231" spans="1:13" x14ac:dyDescent="0.3">
      <c r="A231" t="s">
        <v>244</v>
      </c>
      <c r="B231">
        <v>159</v>
      </c>
      <c r="C231">
        <v>22</v>
      </c>
      <c r="D231" s="1">
        <v>46039.100694444445</v>
      </c>
      <c r="E231">
        <v>799</v>
      </c>
      <c r="F231" t="s">
        <v>12</v>
      </c>
      <c r="G231" t="s">
        <v>10</v>
      </c>
      <c r="H231">
        <v>28</v>
      </c>
      <c r="I231" s="2">
        <f>VLOOKUP(B231,users!$A$1:$B$366,2,0)</f>
        <v>45745</v>
      </c>
      <c r="J231" s="3" t="str">
        <f>IFERROR(VLOOKUP(C231, merchants!$A$1:$D$41, 3, FALSE), "Data Missing")</f>
        <v>travel</v>
      </c>
      <c r="K231" s="3" t="str">
        <f>IFERROR(VLOOKUP(C231, merchants!$A$1:$D$41, 4, FALSE), "Data Missing")</f>
        <v>South</v>
      </c>
      <c r="L231" s="7">
        <f>HLOOKUP(F231,payment_method!$A$1:$E$2,2,0)</f>
        <v>0</v>
      </c>
      <c r="M231" s="3" t="str">
        <f>IF(AND(E231&gt;5000, L231&lt;&gt;"East"), "High-Value Merchant Day", "Normal Day")</f>
        <v>Normal Day</v>
      </c>
    </row>
    <row r="232" spans="1:13" x14ac:dyDescent="0.3">
      <c r="A232" t="s">
        <v>245</v>
      </c>
      <c r="B232">
        <v>262</v>
      </c>
      <c r="C232">
        <v>8</v>
      </c>
      <c r="D232" s="1">
        <v>46033.211111111108</v>
      </c>
      <c r="E232">
        <v>149</v>
      </c>
      <c r="F232" t="s">
        <v>12</v>
      </c>
      <c r="G232" t="s">
        <v>10</v>
      </c>
      <c r="H232">
        <v>67</v>
      </c>
      <c r="I232" s="2">
        <f>VLOOKUP(B232,users!$A$1:$B$366,2,0)</f>
        <v>45672</v>
      </c>
      <c r="J232" s="3" t="str">
        <f>IFERROR(VLOOKUP(C232, merchants!$A$1:$D$41, 3, FALSE), "Data Missing")</f>
        <v>food_delivery</v>
      </c>
      <c r="K232" s="3" t="str">
        <f>IFERROR(VLOOKUP(C232, merchants!$A$1:$D$41, 4, FALSE), "Data Missing")</f>
        <v>North</v>
      </c>
      <c r="L232" s="7">
        <f>HLOOKUP(F232,payment_method!$A$1:$E$2,2,0)</f>
        <v>0</v>
      </c>
      <c r="M232" s="3" t="str">
        <f>IF(AND(E232&gt;5000, L232&lt;&gt;"East"), "High-Value Merchant Day", "Normal Day")</f>
        <v>Normal Day</v>
      </c>
    </row>
    <row r="233" spans="1:13" x14ac:dyDescent="0.3">
      <c r="A233" t="s">
        <v>246</v>
      </c>
      <c r="B233">
        <v>179</v>
      </c>
      <c r="C233">
        <v>23</v>
      </c>
      <c r="D233" s="1">
        <v>46039.289583333331</v>
      </c>
      <c r="E233">
        <v>49</v>
      </c>
      <c r="F233" t="s">
        <v>9</v>
      </c>
      <c r="G233" t="s">
        <v>10</v>
      </c>
      <c r="H233">
        <v>93</v>
      </c>
      <c r="I233" s="2">
        <f>VLOOKUP(B233,users!$A$1:$B$366,2,0)</f>
        <v>45882</v>
      </c>
      <c r="J233" s="3" t="str">
        <f>IFERROR(VLOOKUP(C233, merchants!$A$1:$D$41, 3, FALSE), "Data Missing")</f>
        <v>travel</v>
      </c>
      <c r="K233" s="3" t="str">
        <f>IFERROR(VLOOKUP(C233, merchants!$A$1:$D$41, 4, FALSE), "Data Missing")</f>
        <v>North</v>
      </c>
      <c r="L233" s="7">
        <f>HLOOKUP(F233,payment_method!$A$1:$E$2,2,0)</f>
        <v>1.2E-2</v>
      </c>
      <c r="M233" s="3" t="str">
        <f>IF(AND(E233&gt;5000, L233&lt;&gt;"East"), "High-Value Merchant Day", "Normal Day")</f>
        <v>Normal Day</v>
      </c>
    </row>
    <row r="234" spans="1:13" x14ac:dyDescent="0.3">
      <c r="A234" t="s">
        <v>247</v>
      </c>
      <c r="B234">
        <v>76</v>
      </c>
      <c r="C234">
        <v>16</v>
      </c>
      <c r="D234" s="1">
        <v>46049.869444444441</v>
      </c>
      <c r="E234">
        <v>299</v>
      </c>
      <c r="F234" t="s">
        <v>12</v>
      </c>
      <c r="G234" t="s">
        <v>10</v>
      </c>
      <c r="H234">
        <v>13</v>
      </c>
      <c r="I234" s="2">
        <f>VLOOKUP(B234,users!$A$1:$B$366,2,0)</f>
        <v>45811</v>
      </c>
      <c r="J234" s="3" t="str">
        <f>IFERROR(VLOOKUP(C234, merchants!$A$1:$D$41, 3, FALSE), "Data Missing")</f>
        <v>bill_payment</v>
      </c>
      <c r="K234" s="3" t="str">
        <f>IFERROR(VLOOKUP(C234, merchants!$A$1:$D$41, 4, FALSE), "Data Missing")</f>
        <v>West</v>
      </c>
      <c r="L234" s="7">
        <f>HLOOKUP(F234,payment_method!$A$1:$E$2,2,0)</f>
        <v>0</v>
      </c>
      <c r="M234" s="3" t="str">
        <f>IF(AND(E234&gt;5000, L234&lt;&gt;"East"), "High-Value Merchant Day", "Normal Day")</f>
        <v>Normal Day</v>
      </c>
    </row>
    <row r="235" spans="1:13" x14ac:dyDescent="0.3">
      <c r="A235" t="s">
        <v>248</v>
      </c>
      <c r="B235">
        <v>89</v>
      </c>
      <c r="C235">
        <v>39</v>
      </c>
      <c r="D235" s="1">
        <v>46027.341666666667</v>
      </c>
      <c r="E235">
        <v>299</v>
      </c>
      <c r="F235" t="s">
        <v>12</v>
      </c>
      <c r="G235" t="s">
        <v>10</v>
      </c>
      <c r="H235">
        <v>19</v>
      </c>
      <c r="I235" s="2">
        <f>VLOOKUP(B235,users!$A$1:$B$366,2,0)</f>
        <v>45450</v>
      </c>
      <c r="J235" s="3" t="str">
        <f>IFERROR(VLOOKUP(C235, merchants!$A$1:$D$41, 3, FALSE), "Data Missing")</f>
        <v>entertainment</v>
      </c>
      <c r="K235" s="3" t="str">
        <f>IFERROR(VLOOKUP(C235, merchants!$A$1:$D$41, 4, FALSE), "Data Missing")</f>
        <v>North</v>
      </c>
      <c r="L235" s="7">
        <f>HLOOKUP(F235,payment_method!$A$1:$E$2,2,0)</f>
        <v>0</v>
      </c>
      <c r="M235" s="3" t="str">
        <f>IF(AND(E235&gt;5000, L235&lt;&gt;"East"), "High-Value Merchant Day", "Normal Day")</f>
        <v>Normal Day</v>
      </c>
    </row>
    <row r="236" spans="1:13" x14ac:dyDescent="0.3">
      <c r="A236" t="s">
        <v>249</v>
      </c>
      <c r="B236">
        <v>91</v>
      </c>
      <c r="C236">
        <v>32</v>
      </c>
      <c r="D236" s="1">
        <v>46047.836111111108</v>
      </c>
      <c r="E236">
        <v>49</v>
      </c>
      <c r="F236" t="s">
        <v>12</v>
      </c>
      <c r="G236" t="s">
        <v>10</v>
      </c>
      <c r="H236">
        <v>59</v>
      </c>
      <c r="I236" s="2">
        <f>VLOOKUP(B236,users!$A$1:$B$366,2,0)</f>
        <v>45380</v>
      </c>
      <c r="J236" s="3" t="str">
        <f>IFERROR(VLOOKUP(C236, merchants!$A$1:$D$41, 3, FALSE), "Data Missing")</f>
        <v>food_delivery</v>
      </c>
      <c r="K236" s="3" t="str">
        <f>IFERROR(VLOOKUP(C236, merchants!$A$1:$D$41, 4, FALSE), "Data Missing")</f>
        <v>West</v>
      </c>
      <c r="L236" s="7">
        <f>HLOOKUP(F236,payment_method!$A$1:$E$2,2,0)</f>
        <v>0</v>
      </c>
      <c r="M236" s="3" t="str">
        <f>IF(AND(E236&gt;5000, L236&lt;&gt;"East"), "High-Value Merchant Day", "Normal Day")</f>
        <v>Normal Day</v>
      </c>
    </row>
    <row r="237" spans="1:13" x14ac:dyDescent="0.3">
      <c r="A237" t="s">
        <v>250</v>
      </c>
      <c r="B237">
        <v>297</v>
      </c>
      <c r="C237">
        <v>29</v>
      </c>
      <c r="D237" s="1">
        <v>46047.783333333333</v>
      </c>
      <c r="E237">
        <v>99</v>
      </c>
      <c r="F237" t="s">
        <v>24</v>
      </c>
      <c r="G237" t="s">
        <v>38</v>
      </c>
      <c r="H237">
        <v>87</v>
      </c>
      <c r="I237" s="2">
        <f>VLOOKUP(B237,users!$A$1:$B$366,2,0)</f>
        <v>45310</v>
      </c>
      <c r="J237" s="3" t="str">
        <f>IFERROR(VLOOKUP(C237, merchants!$A$1:$D$41, 3, FALSE), "Data Missing")</f>
        <v>ecommerce</v>
      </c>
      <c r="K237" s="3" t="str">
        <f>IFERROR(VLOOKUP(C237, merchants!$A$1:$D$41, 4, FALSE), "Data Missing")</f>
        <v>North</v>
      </c>
      <c r="L237" s="7">
        <f>HLOOKUP(F237,payment_method!$A$1:$E$2,2,0)</f>
        <v>0.02</v>
      </c>
      <c r="M237" s="3" t="str">
        <f>IF(AND(E237&gt;5000, L237&lt;&gt;"East"), "High-Value Merchant Day", "Normal Day")</f>
        <v>Normal Day</v>
      </c>
    </row>
    <row r="238" spans="1:13" x14ac:dyDescent="0.3">
      <c r="A238" t="s">
        <v>251</v>
      </c>
      <c r="B238">
        <v>326</v>
      </c>
      <c r="C238">
        <v>40</v>
      </c>
      <c r="D238" s="1">
        <v>46052.77847222222</v>
      </c>
      <c r="E238">
        <v>499</v>
      </c>
      <c r="F238" t="s">
        <v>24</v>
      </c>
      <c r="G238" t="s">
        <v>10</v>
      </c>
      <c r="H238">
        <v>41</v>
      </c>
      <c r="I238" s="2">
        <f>VLOOKUP(B238,users!$A$1:$B$366,2,0)</f>
        <v>45652</v>
      </c>
      <c r="J238" s="3" t="str">
        <f>IFERROR(VLOOKUP(C238, merchants!$A$1:$D$41, 3, FALSE), "Data Missing")</f>
        <v>entertainment</v>
      </c>
      <c r="K238" s="3" t="str">
        <f>IFERROR(VLOOKUP(C238, merchants!$A$1:$D$41, 4, FALSE), "Data Missing")</f>
        <v>South</v>
      </c>
      <c r="L238" s="7">
        <f>HLOOKUP(F238,payment_method!$A$1:$E$2,2,0)</f>
        <v>0.02</v>
      </c>
      <c r="M238" s="3" t="str">
        <f>IF(AND(E238&gt;5000, L238&lt;&gt;"East"), "High-Value Merchant Day", "Normal Day")</f>
        <v>Normal Day</v>
      </c>
    </row>
    <row r="239" spans="1:13" x14ac:dyDescent="0.3">
      <c r="A239" t="s">
        <v>252</v>
      </c>
      <c r="B239">
        <v>78</v>
      </c>
      <c r="C239">
        <v>29</v>
      </c>
      <c r="D239" s="1">
        <v>46050.847222222219</v>
      </c>
      <c r="E239">
        <v>149</v>
      </c>
      <c r="F239" t="s">
        <v>12</v>
      </c>
      <c r="G239" t="s">
        <v>10</v>
      </c>
      <c r="H239">
        <v>8</v>
      </c>
      <c r="I239" s="2">
        <f>VLOOKUP(B239,users!$A$1:$B$366,2,0)</f>
        <v>45885</v>
      </c>
      <c r="J239" s="3" t="str">
        <f>IFERROR(VLOOKUP(C239, merchants!$A$1:$D$41, 3, FALSE), "Data Missing")</f>
        <v>ecommerce</v>
      </c>
      <c r="K239" s="3" t="str">
        <f>IFERROR(VLOOKUP(C239, merchants!$A$1:$D$41, 4, FALSE), "Data Missing")</f>
        <v>North</v>
      </c>
      <c r="L239" s="7">
        <f>HLOOKUP(F239,payment_method!$A$1:$E$2,2,0)</f>
        <v>0</v>
      </c>
      <c r="M239" s="3" t="str">
        <f>IF(AND(E239&gt;5000, L239&lt;&gt;"East"), "High-Value Merchant Day", "Normal Day")</f>
        <v>Normal Day</v>
      </c>
    </row>
    <row r="240" spans="1:13" x14ac:dyDescent="0.3">
      <c r="A240" t="s">
        <v>253</v>
      </c>
      <c r="B240">
        <v>156</v>
      </c>
      <c r="C240">
        <v>18</v>
      </c>
      <c r="D240" s="1">
        <v>46038.611111111109</v>
      </c>
      <c r="E240">
        <v>2999</v>
      </c>
      <c r="F240" t="s">
        <v>24</v>
      </c>
      <c r="G240" t="s">
        <v>10</v>
      </c>
      <c r="H240">
        <v>75</v>
      </c>
      <c r="I240" s="2">
        <f>VLOOKUP(B240,users!$A$1:$B$366,2,0)</f>
        <v>45409</v>
      </c>
      <c r="J240" s="3" t="str">
        <f>IFERROR(VLOOKUP(C240, merchants!$A$1:$D$41, 3, FALSE), "Data Missing")</f>
        <v>grocery</v>
      </c>
      <c r="K240" s="3" t="str">
        <f>IFERROR(VLOOKUP(C240, merchants!$A$1:$D$41, 4, FALSE), "Data Missing")</f>
        <v>West</v>
      </c>
      <c r="L240" s="7">
        <f>HLOOKUP(F240,payment_method!$A$1:$E$2,2,0)</f>
        <v>0.02</v>
      </c>
      <c r="M240" s="3" t="str">
        <f>IF(AND(E240&gt;5000, L240&lt;&gt;"East"), "High-Value Merchant Day", "Normal Day")</f>
        <v>Normal Day</v>
      </c>
    </row>
    <row r="241" spans="1:13" x14ac:dyDescent="0.3">
      <c r="A241" t="s">
        <v>254</v>
      </c>
      <c r="B241">
        <v>38</v>
      </c>
      <c r="C241">
        <v>20</v>
      </c>
      <c r="D241" s="1">
        <v>46024.480555555558</v>
      </c>
      <c r="E241">
        <v>49</v>
      </c>
      <c r="F241" t="s">
        <v>9</v>
      </c>
      <c r="G241" t="s">
        <v>25</v>
      </c>
      <c r="H241">
        <v>59</v>
      </c>
      <c r="I241" s="2">
        <f>VLOOKUP(B241,users!$A$1:$B$366,2,0)</f>
        <v>45623</v>
      </c>
      <c r="J241" s="3" t="str">
        <f>IFERROR(VLOOKUP(C241, merchants!$A$1:$D$41, 3, FALSE), "Data Missing")</f>
        <v>food_delivery</v>
      </c>
      <c r="K241" s="3" t="str">
        <f>IFERROR(VLOOKUP(C241, merchants!$A$1:$D$41, 4, FALSE), "Data Missing")</f>
        <v>East</v>
      </c>
      <c r="L241" s="7">
        <f>HLOOKUP(F241,payment_method!$A$1:$E$2,2,0)</f>
        <v>1.2E-2</v>
      </c>
      <c r="M241" s="3" t="str">
        <f>IF(AND(E241&gt;5000, L241&lt;&gt;"East"), "High-Value Merchant Day", "Normal Day")</f>
        <v>Normal Day</v>
      </c>
    </row>
    <row r="242" spans="1:13" x14ac:dyDescent="0.3">
      <c r="A242" t="s">
        <v>255</v>
      </c>
      <c r="B242">
        <v>189</v>
      </c>
      <c r="C242">
        <v>19</v>
      </c>
      <c r="D242" s="1">
        <v>46037.043749999997</v>
      </c>
      <c r="E242">
        <v>99</v>
      </c>
      <c r="F242" t="s">
        <v>12</v>
      </c>
      <c r="G242" t="s">
        <v>25</v>
      </c>
      <c r="H242">
        <v>9</v>
      </c>
      <c r="I242" s="2">
        <f>VLOOKUP(B242,users!$A$1:$B$366,2,0)</f>
        <v>45520</v>
      </c>
      <c r="J242" s="3" t="str">
        <f>IFERROR(VLOOKUP(C242, merchants!$A$1:$D$41, 3, FALSE), "Data Missing")</f>
        <v>grocery</v>
      </c>
      <c r="K242" s="3" t="str">
        <f>IFERROR(VLOOKUP(C242, merchants!$A$1:$D$41, 4, FALSE), "Data Missing")</f>
        <v>North</v>
      </c>
      <c r="L242" s="7">
        <f>HLOOKUP(F242,payment_method!$A$1:$E$2,2,0)</f>
        <v>0</v>
      </c>
      <c r="M242" s="3" t="str">
        <f>IF(AND(E242&gt;5000, L242&lt;&gt;"East"), "High-Value Merchant Day", "Normal Day")</f>
        <v>Normal Day</v>
      </c>
    </row>
    <row r="243" spans="1:13" x14ac:dyDescent="0.3">
      <c r="A243" t="s">
        <v>256</v>
      </c>
      <c r="B243">
        <v>305</v>
      </c>
      <c r="C243">
        <v>33</v>
      </c>
      <c r="D243" s="1">
        <v>46043.11041666667</v>
      </c>
      <c r="E243">
        <v>299</v>
      </c>
      <c r="F243" t="s">
        <v>24</v>
      </c>
      <c r="G243" t="s">
        <v>10</v>
      </c>
      <c r="H243">
        <v>49</v>
      </c>
      <c r="I243" s="2">
        <f>VLOOKUP(B243,users!$A$1:$B$366,2,0)</f>
        <v>45884</v>
      </c>
      <c r="J243" s="3" t="str">
        <f>IFERROR(VLOOKUP(C243, merchants!$A$1:$D$41, 3, FALSE), "Data Missing")</f>
        <v>bill_payment</v>
      </c>
      <c r="K243" s="3" t="str">
        <f>IFERROR(VLOOKUP(C243, merchants!$A$1:$D$41, 4, FALSE), "Data Missing")</f>
        <v>East</v>
      </c>
      <c r="L243" s="7">
        <f>HLOOKUP(F243,payment_method!$A$1:$E$2,2,0)</f>
        <v>0.02</v>
      </c>
      <c r="M243" s="3" t="str">
        <f>IF(AND(E243&gt;5000, L243&lt;&gt;"East"), "High-Value Merchant Day", "Normal Day")</f>
        <v>Normal Day</v>
      </c>
    </row>
    <row r="244" spans="1:13" x14ac:dyDescent="0.3">
      <c r="A244" t="s">
        <v>257</v>
      </c>
      <c r="B244">
        <v>22</v>
      </c>
      <c r="C244">
        <v>29</v>
      </c>
      <c r="D244" s="1">
        <v>46037.774305555555</v>
      </c>
      <c r="E244">
        <v>799</v>
      </c>
      <c r="F244" t="s">
        <v>12</v>
      </c>
      <c r="G244" t="s">
        <v>10</v>
      </c>
      <c r="H244">
        <v>73</v>
      </c>
      <c r="I244" s="2">
        <f>VLOOKUP(B244,users!$A$1:$B$366,2,0)</f>
        <v>45322</v>
      </c>
      <c r="J244" s="3" t="str">
        <f>IFERROR(VLOOKUP(C244, merchants!$A$1:$D$41, 3, FALSE), "Data Missing")</f>
        <v>ecommerce</v>
      </c>
      <c r="K244" s="3" t="str">
        <f>IFERROR(VLOOKUP(C244, merchants!$A$1:$D$41, 4, FALSE), "Data Missing")</f>
        <v>North</v>
      </c>
      <c r="L244" s="7">
        <f>HLOOKUP(F244,payment_method!$A$1:$E$2,2,0)</f>
        <v>0</v>
      </c>
      <c r="M244" s="3" t="str">
        <f>IF(AND(E244&gt;5000, L244&lt;&gt;"East"), "High-Value Merchant Day", "Normal Day")</f>
        <v>Normal Day</v>
      </c>
    </row>
    <row r="245" spans="1:13" x14ac:dyDescent="0.3">
      <c r="A245" t="s">
        <v>258</v>
      </c>
      <c r="B245">
        <v>310</v>
      </c>
      <c r="C245">
        <v>31</v>
      </c>
      <c r="D245" s="1">
        <v>46043.263888888891</v>
      </c>
      <c r="E245">
        <v>49</v>
      </c>
      <c r="F245" t="s">
        <v>24</v>
      </c>
      <c r="G245" t="s">
        <v>10</v>
      </c>
      <c r="H245">
        <v>64</v>
      </c>
      <c r="I245" s="2">
        <f>VLOOKUP(B245,users!$A$1:$B$366,2,0)</f>
        <v>45374</v>
      </c>
      <c r="J245" s="3" t="str">
        <f>IFERROR(VLOOKUP(C245, merchants!$A$1:$D$41, 3, FALSE), "Data Missing")</f>
        <v>bill_payment</v>
      </c>
      <c r="K245" s="3" t="str">
        <f>IFERROR(VLOOKUP(C245, merchants!$A$1:$D$41, 4, FALSE), "Data Missing")</f>
        <v>East</v>
      </c>
      <c r="L245" s="7">
        <f>HLOOKUP(F245,payment_method!$A$1:$E$2,2,0)</f>
        <v>0.02</v>
      </c>
      <c r="M245" s="3" t="str">
        <f>IF(AND(E245&gt;5000, L245&lt;&gt;"East"), "High-Value Merchant Day", "Normal Day")</f>
        <v>Normal Day</v>
      </c>
    </row>
    <row r="246" spans="1:13" x14ac:dyDescent="0.3">
      <c r="A246" t="s">
        <v>259</v>
      </c>
      <c r="B246">
        <v>53</v>
      </c>
      <c r="C246">
        <v>22</v>
      </c>
      <c r="D246" s="1">
        <v>46027.061111111114</v>
      </c>
      <c r="E246">
        <v>299</v>
      </c>
      <c r="F246" t="s">
        <v>12</v>
      </c>
      <c r="G246" t="s">
        <v>10</v>
      </c>
      <c r="H246">
        <v>91</v>
      </c>
      <c r="I246" s="2">
        <f>VLOOKUP(B246,users!$A$1:$B$366,2,0)</f>
        <v>45599</v>
      </c>
      <c r="J246" s="3" t="str">
        <f>IFERROR(VLOOKUP(C246, merchants!$A$1:$D$41, 3, FALSE), "Data Missing")</f>
        <v>travel</v>
      </c>
      <c r="K246" s="3" t="str">
        <f>IFERROR(VLOOKUP(C246, merchants!$A$1:$D$41, 4, FALSE), "Data Missing")</f>
        <v>South</v>
      </c>
      <c r="L246" s="7">
        <f>HLOOKUP(F246,payment_method!$A$1:$E$2,2,0)</f>
        <v>0</v>
      </c>
      <c r="M246" s="3" t="str">
        <f>IF(AND(E246&gt;5000, L246&lt;&gt;"East"), "High-Value Merchant Day", "Normal Day")</f>
        <v>Normal Day</v>
      </c>
    </row>
    <row r="247" spans="1:13" x14ac:dyDescent="0.3">
      <c r="A247" t="s">
        <v>260</v>
      </c>
      <c r="B247">
        <v>89</v>
      </c>
      <c r="C247">
        <v>3</v>
      </c>
      <c r="D247" s="1">
        <v>46025.695138888892</v>
      </c>
      <c r="E247">
        <v>149</v>
      </c>
      <c r="F247" t="s">
        <v>24</v>
      </c>
      <c r="G247" t="s">
        <v>10</v>
      </c>
      <c r="H247">
        <v>31</v>
      </c>
      <c r="I247" s="2">
        <f>VLOOKUP(B247,users!$A$1:$B$366,2,0)</f>
        <v>45450</v>
      </c>
      <c r="J247" s="3" t="str">
        <f>IFERROR(VLOOKUP(C247, merchants!$A$1:$D$41, 3, FALSE), "Data Missing")</f>
        <v>grocery</v>
      </c>
      <c r="K247" s="3" t="str">
        <f>IFERROR(VLOOKUP(C247, merchants!$A$1:$D$41, 4, FALSE), "Data Missing")</f>
        <v>East</v>
      </c>
      <c r="L247" s="7">
        <f>HLOOKUP(F247,payment_method!$A$1:$E$2,2,0)</f>
        <v>0.02</v>
      </c>
      <c r="M247" s="3" t="str">
        <f>IF(AND(E247&gt;5000, L247&lt;&gt;"East"), "High-Value Merchant Day", "Normal Day")</f>
        <v>Normal Day</v>
      </c>
    </row>
    <row r="248" spans="1:13" x14ac:dyDescent="0.3">
      <c r="A248" t="s">
        <v>261</v>
      </c>
      <c r="B248">
        <v>269</v>
      </c>
      <c r="C248">
        <v>34</v>
      </c>
      <c r="D248" s="1">
        <v>46045.602777777778</v>
      </c>
      <c r="E248">
        <v>149</v>
      </c>
      <c r="F248" t="s">
        <v>12</v>
      </c>
      <c r="G248" t="s">
        <v>10</v>
      </c>
      <c r="H248">
        <v>78</v>
      </c>
      <c r="I248" s="2">
        <f>VLOOKUP(B248,users!$A$1:$B$366,2,0)</f>
        <v>45686</v>
      </c>
      <c r="J248" s="3" t="str">
        <f>IFERROR(VLOOKUP(C248, merchants!$A$1:$D$41, 3, FALSE), "Data Missing")</f>
        <v>travel</v>
      </c>
      <c r="K248" s="3" t="str">
        <f>IFERROR(VLOOKUP(C248, merchants!$A$1:$D$41, 4, FALSE), "Data Missing")</f>
        <v>South</v>
      </c>
      <c r="L248" s="7">
        <f>HLOOKUP(F248,payment_method!$A$1:$E$2,2,0)</f>
        <v>0</v>
      </c>
      <c r="M248" s="3" t="str">
        <f>IF(AND(E248&gt;5000, L248&lt;&gt;"East"), "High-Value Merchant Day", "Normal Day")</f>
        <v>Normal Day</v>
      </c>
    </row>
    <row r="249" spans="1:13" x14ac:dyDescent="0.3">
      <c r="A249" t="s">
        <v>262</v>
      </c>
      <c r="B249">
        <v>145</v>
      </c>
      <c r="C249">
        <v>25</v>
      </c>
      <c r="D249" s="1">
        <v>46028.474305555559</v>
      </c>
      <c r="E249">
        <v>799</v>
      </c>
      <c r="F249" t="s">
        <v>12</v>
      </c>
      <c r="G249" t="s">
        <v>10</v>
      </c>
      <c r="H249">
        <v>52</v>
      </c>
      <c r="I249" s="2">
        <f>VLOOKUP(B249,users!$A$1:$B$366,2,0)</f>
        <v>45961</v>
      </c>
      <c r="J249" s="3" t="str">
        <f>IFERROR(VLOOKUP(C249, merchants!$A$1:$D$41, 3, FALSE), "Data Missing")</f>
        <v>travel</v>
      </c>
      <c r="K249" s="3" t="str">
        <f>IFERROR(VLOOKUP(C249, merchants!$A$1:$D$41, 4, FALSE), "Data Missing")</f>
        <v>South</v>
      </c>
      <c r="L249" s="7">
        <f>HLOOKUP(F249,payment_method!$A$1:$E$2,2,0)</f>
        <v>0</v>
      </c>
      <c r="M249" s="3" t="str">
        <f>IF(AND(E249&gt;5000, L249&lt;&gt;"East"), "High-Value Merchant Day", "Normal Day")</f>
        <v>Normal Day</v>
      </c>
    </row>
    <row r="250" spans="1:13" x14ac:dyDescent="0.3">
      <c r="A250" t="s">
        <v>263</v>
      </c>
      <c r="B250">
        <v>307</v>
      </c>
      <c r="C250">
        <v>4</v>
      </c>
      <c r="D250" s="1">
        <v>46047.446527777778</v>
      </c>
      <c r="E250">
        <v>1499</v>
      </c>
      <c r="F250" t="s">
        <v>12</v>
      </c>
      <c r="G250" t="s">
        <v>10</v>
      </c>
      <c r="H250">
        <v>80</v>
      </c>
      <c r="I250" s="2">
        <f>VLOOKUP(B250,users!$A$1:$B$366,2,0)</f>
        <v>45834</v>
      </c>
      <c r="J250" s="3" t="str">
        <f>IFERROR(VLOOKUP(C250, merchants!$A$1:$D$41, 3, FALSE), "Data Missing")</f>
        <v>ecommerce</v>
      </c>
      <c r="K250" s="3" t="str">
        <f>IFERROR(VLOOKUP(C250, merchants!$A$1:$D$41, 4, FALSE), "Data Missing")</f>
        <v>East</v>
      </c>
      <c r="L250" s="7">
        <f>HLOOKUP(F250,payment_method!$A$1:$E$2,2,0)</f>
        <v>0</v>
      </c>
      <c r="M250" s="3" t="str">
        <f>IF(AND(E250&gt;5000, L250&lt;&gt;"East"), "High-Value Merchant Day", "Normal Day")</f>
        <v>Normal Day</v>
      </c>
    </row>
    <row r="251" spans="1:13" x14ac:dyDescent="0.3">
      <c r="A251" t="s">
        <v>264</v>
      </c>
      <c r="B251">
        <v>169</v>
      </c>
      <c r="C251">
        <v>7</v>
      </c>
      <c r="D251" s="1">
        <v>46043.419444444444</v>
      </c>
      <c r="E251">
        <v>1499</v>
      </c>
      <c r="F251" t="s">
        <v>9</v>
      </c>
      <c r="G251" t="s">
        <v>10</v>
      </c>
      <c r="H251">
        <v>71</v>
      </c>
      <c r="I251" s="2">
        <f>VLOOKUP(B251,users!$A$1:$B$366,2,0)</f>
        <v>45573</v>
      </c>
      <c r="J251" s="3" t="str">
        <f>IFERROR(VLOOKUP(C251, merchants!$A$1:$D$41, 3, FALSE), "Data Missing")</f>
        <v>food_delivery</v>
      </c>
      <c r="K251" s="3" t="str">
        <f>IFERROR(VLOOKUP(C251, merchants!$A$1:$D$41, 4, FALSE), "Data Missing")</f>
        <v>East</v>
      </c>
      <c r="L251" s="7">
        <f>HLOOKUP(F251,payment_method!$A$1:$E$2,2,0)</f>
        <v>1.2E-2</v>
      </c>
      <c r="M251" s="3" t="str">
        <f>IF(AND(E251&gt;5000, L251&lt;&gt;"East"), "High-Value Merchant Day", "Normal Day")</f>
        <v>Normal Day</v>
      </c>
    </row>
    <row r="252" spans="1:13" x14ac:dyDescent="0.3">
      <c r="A252" t="s">
        <v>265</v>
      </c>
      <c r="B252">
        <v>130</v>
      </c>
      <c r="C252">
        <v>39</v>
      </c>
      <c r="D252" s="1">
        <v>46044.512499999997</v>
      </c>
      <c r="E252">
        <v>2999</v>
      </c>
      <c r="F252" t="s">
        <v>9</v>
      </c>
      <c r="G252" t="s">
        <v>10</v>
      </c>
      <c r="H252">
        <v>19</v>
      </c>
      <c r="I252" s="2">
        <f>VLOOKUP(B252,users!$A$1:$B$366,2,0)</f>
        <v>45763</v>
      </c>
      <c r="J252" s="3" t="str">
        <f>IFERROR(VLOOKUP(C252, merchants!$A$1:$D$41, 3, FALSE), "Data Missing")</f>
        <v>entertainment</v>
      </c>
      <c r="K252" s="3" t="str">
        <f>IFERROR(VLOOKUP(C252, merchants!$A$1:$D$41, 4, FALSE), "Data Missing")</f>
        <v>North</v>
      </c>
      <c r="L252" s="7">
        <f>HLOOKUP(F252,payment_method!$A$1:$E$2,2,0)</f>
        <v>1.2E-2</v>
      </c>
      <c r="M252" s="3" t="str">
        <f>IF(AND(E252&gt;5000, L252&lt;&gt;"East"), "High-Value Merchant Day", "Normal Day")</f>
        <v>Normal Day</v>
      </c>
    </row>
    <row r="253" spans="1:13" x14ac:dyDescent="0.3">
      <c r="A253" t="s">
        <v>266</v>
      </c>
      <c r="B253">
        <v>340</v>
      </c>
      <c r="C253">
        <v>10</v>
      </c>
      <c r="D253" s="1">
        <v>46033.109027777777</v>
      </c>
      <c r="E253">
        <v>49</v>
      </c>
      <c r="F253" t="s">
        <v>24</v>
      </c>
      <c r="G253" t="s">
        <v>10</v>
      </c>
      <c r="H253">
        <v>44</v>
      </c>
      <c r="I253" s="2">
        <f>VLOOKUP(B253,users!$A$1:$B$366,2,0)</f>
        <v>45957</v>
      </c>
      <c r="J253" s="3" t="str">
        <f>IFERROR(VLOOKUP(C253, merchants!$A$1:$D$41, 3, FALSE), "Data Missing")</f>
        <v>grocery</v>
      </c>
      <c r="K253" s="3" t="str">
        <f>IFERROR(VLOOKUP(C253, merchants!$A$1:$D$41, 4, FALSE), "Data Missing")</f>
        <v>West</v>
      </c>
      <c r="L253" s="7">
        <f>HLOOKUP(F253,payment_method!$A$1:$E$2,2,0)</f>
        <v>0.02</v>
      </c>
      <c r="M253" s="3" t="str">
        <f>IF(AND(E253&gt;5000, L253&lt;&gt;"East"), "High-Value Merchant Day", "Normal Day")</f>
        <v>Normal Day</v>
      </c>
    </row>
    <row r="254" spans="1:13" x14ac:dyDescent="0.3">
      <c r="A254" t="s">
        <v>267</v>
      </c>
      <c r="B254">
        <v>340</v>
      </c>
      <c r="C254">
        <v>26</v>
      </c>
      <c r="D254" s="1">
        <v>46032.863888888889</v>
      </c>
      <c r="E254">
        <v>299</v>
      </c>
      <c r="F254" t="s">
        <v>24</v>
      </c>
      <c r="G254" t="s">
        <v>10</v>
      </c>
      <c r="H254">
        <v>16</v>
      </c>
      <c r="I254" s="2">
        <f>VLOOKUP(B254,users!$A$1:$B$366,2,0)</f>
        <v>45957</v>
      </c>
      <c r="J254" s="3" t="str">
        <f>IFERROR(VLOOKUP(C254, merchants!$A$1:$D$41, 3, FALSE), "Data Missing")</f>
        <v>food_delivery</v>
      </c>
      <c r="K254" s="3" t="str">
        <f>IFERROR(VLOOKUP(C254, merchants!$A$1:$D$41, 4, FALSE), "Data Missing")</f>
        <v>East</v>
      </c>
      <c r="L254" s="7">
        <f>HLOOKUP(F254,payment_method!$A$1:$E$2,2,0)</f>
        <v>0.02</v>
      </c>
      <c r="M254" s="3" t="str">
        <f>IF(AND(E254&gt;5000, L254&lt;&gt;"East"), "High-Value Merchant Day", "Normal Day")</f>
        <v>Normal Day</v>
      </c>
    </row>
    <row r="255" spans="1:13" x14ac:dyDescent="0.3">
      <c r="A255" t="s">
        <v>268</v>
      </c>
      <c r="B255">
        <v>159</v>
      </c>
      <c r="C255">
        <v>36</v>
      </c>
      <c r="D255" s="1">
        <v>46042.920138888891</v>
      </c>
      <c r="E255">
        <v>49</v>
      </c>
      <c r="F255" t="s">
        <v>12</v>
      </c>
      <c r="G255" t="s">
        <v>10</v>
      </c>
      <c r="H255">
        <v>48</v>
      </c>
      <c r="I255" s="2">
        <f>VLOOKUP(B255,users!$A$1:$B$366,2,0)</f>
        <v>45745</v>
      </c>
      <c r="J255" s="3" t="str">
        <f>IFERROR(VLOOKUP(C255, merchants!$A$1:$D$41, 3, FALSE), "Data Missing")</f>
        <v>entertainment</v>
      </c>
      <c r="K255" s="3" t="str">
        <f>IFERROR(VLOOKUP(C255, merchants!$A$1:$D$41, 4, FALSE), "Data Missing")</f>
        <v>East</v>
      </c>
      <c r="L255" s="7">
        <f>HLOOKUP(F255,payment_method!$A$1:$E$2,2,0)</f>
        <v>0</v>
      </c>
      <c r="M255" s="3" t="str">
        <f>IF(AND(E255&gt;5000, L255&lt;&gt;"East"), "High-Value Merchant Day", "Normal Day")</f>
        <v>Normal Day</v>
      </c>
    </row>
    <row r="256" spans="1:13" x14ac:dyDescent="0.3">
      <c r="A256" t="s">
        <v>269</v>
      </c>
      <c r="B256">
        <v>66</v>
      </c>
      <c r="C256">
        <v>34</v>
      </c>
      <c r="D256" s="1">
        <v>46043.452777777777</v>
      </c>
      <c r="E256">
        <v>799</v>
      </c>
      <c r="F256" t="s">
        <v>12</v>
      </c>
      <c r="G256" t="s">
        <v>10</v>
      </c>
      <c r="H256">
        <v>11</v>
      </c>
      <c r="I256" s="2">
        <f>VLOOKUP(B256,users!$A$1:$B$366,2,0)</f>
        <v>45337</v>
      </c>
      <c r="J256" s="3" t="str">
        <f>IFERROR(VLOOKUP(C256, merchants!$A$1:$D$41, 3, FALSE), "Data Missing")</f>
        <v>travel</v>
      </c>
      <c r="K256" s="3" t="str">
        <f>IFERROR(VLOOKUP(C256, merchants!$A$1:$D$41, 4, FALSE), "Data Missing")</f>
        <v>South</v>
      </c>
      <c r="L256" s="7">
        <f>HLOOKUP(F256,payment_method!$A$1:$E$2,2,0)</f>
        <v>0</v>
      </c>
      <c r="M256" s="3" t="str">
        <f>IF(AND(E256&gt;5000, L256&lt;&gt;"East"), "High-Value Merchant Day", "Normal Day")</f>
        <v>Normal Day</v>
      </c>
    </row>
    <row r="257" spans="1:13" x14ac:dyDescent="0.3">
      <c r="A257" t="s">
        <v>270</v>
      </c>
      <c r="B257">
        <v>261</v>
      </c>
      <c r="C257">
        <v>24</v>
      </c>
      <c r="D257" s="1">
        <v>46043.893750000003</v>
      </c>
      <c r="E257">
        <v>799</v>
      </c>
      <c r="F257" t="s">
        <v>24</v>
      </c>
      <c r="G257" t="s">
        <v>10</v>
      </c>
      <c r="H257">
        <v>2</v>
      </c>
      <c r="I257" s="2">
        <f>VLOOKUP(B257,users!$A$1:$B$366,2,0)</f>
        <v>45308</v>
      </c>
      <c r="J257" s="3" t="str">
        <f>IFERROR(VLOOKUP(C257, merchants!$A$1:$D$41, 3, FALSE), "Data Missing")</f>
        <v>grocery</v>
      </c>
      <c r="K257" s="3" t="str">
        <f>IFERROR(VLOOKUP(C257, merchants!$A$1:$D$41, 4, FALSE), "Data Missing")</f>
        <v>North</v>
      </c>
      <c r="L257" s="7">
        <f>HLOOKUP(F257,payment_method!$A$1:$E$2,2,0)</f>
        <v>0.02</v>
      </c>
      <c r="M257" s="3" t="str">
        <f>IF(AND(E257&gt;5000, L257&lt;&gt;"East"), "High-Value Merchant Day", "Normal Day")</f>
        <v>Normal Day</v>
      </c>
    </row>
    <row r="258" spans="1:13" x14ac:dyDescent="0.3">
      <c r="A258" t="s">
        <v>271</v>
      </c>
      <c r="B258">
        <v>110</v>
      </c>
      <c r="C258">
        <v>22</v>
      </c>
      <c r="D258" s="1">
        <v>46034.382638888892</v>
      </c>
      <c r="E258">
        <v>799</v>
      </c>
      <c r="F258" t="s">
        <v>12</v>
      </c>
      <c r="G258" t="s">
        <v>10</v>
      </c>
      <c r="H258">
        <v>98</v>
      </c>
      <c r="I258" s="2">
        <f>VLOOKUP(B258,users!$A$1:$B$366,2,0)</f>
        <v>45507</v>
      </c>
      <c r="J258" s="3" t="str">
        <f>IFERROR(VLOOKUP(C258, merchants!$A$1:$D$41, 3, FALSE), "Data Missing")</f>
        <v>travel</v>
      </c>
      <c r="K258" s="3" t="str">
        <f>IFERROR(VLOOKUP(C258, merchants!$A$1:$D$41, 4, FALSE), "Data Missing")</f>
        <v>South</v>
      </c>
      <c r="L258" s="7">
        <f>HLOOKUP(F258,payment_method!$A$1:$E$2,2,0)</f>
        <v>0</v>
      </c>
      <c r="M258" s="3" t="str">
        <f>IF(AND(E258&gt;5000, L258&lt;&gt;"East"), "High-Value Merchant Day", "Normal Day")</f>
        <v>Normal Day</v>
      </c>
    </row>
    <row r="259" spans="1:13" x14ac:dyDescent="0.3">
      <c r="A259" t="s">
        <v>272</v>
      </c>
      <c r="B259">
        <v>71</v>
      </c>
      <c r="C259">
        <v>10</v>
      </c>
      <c r="D259" s="1">
        <v>46038.259722222225</v>
      </c>
      <c r="E259">
        <v>49</v>
      </c>
      <c r="F259" t="s">
        <v>12</v>
      </c>
      <c r="G259" t="s">
        <v>10</v>
      </c>
      <c r="H259">
        <v>9</v>
      </c>
      <c r="I259" s="2">
        <f>VLOOKUP(B259,users!$A$1:$B$366,2,0)</f>
        <v>45832</v>
      </c>
      <c r="J259" s="3" t="str">
        <f>IFERROR(VLOOKUP(C259, merchants!$A$1:$D$41, 3, FALSE), "Data Missing")</f>
        <v>grocery</v>
      </c>
      <c r="K259" s="3" t="str">
        <f>IFERROR(VLOOKUP(C259, merchants!$A$1:$D$41, 4, FALSE), "Data Missing")</f>
        <v>West</v>
      </c>
      <c r="L259" s="7">
        <f>HLOOKUP(F259,payment_method!$A$1:$E$2,2,0)</f>
        <v>0</v>
      </c>
      <c r="M259" s="3" t="str">
        <f>IF(AND(E259&gt;5000, L259&lt;&gt;"East"), "High-Value Merchant Day", "Normal Day")</f>
        <v>Normal Day</v>
      </c>
    </row>
    <row r="260" spans="1:13" x14ac:dyDescent="0.3">
      <c r="A260" t="s">
        <v>273</v>
      </c>
      <c r="B260">
        <v>277</v>
      </c>
      <c r="C260">
        <v>34</v>
      </c>
      <c r="D260" s="1">
        <v>46032.147222222222</v>
      </c>
      <c r="E260">
        <v>49</v>
      </c>
      <c r="F260" t="s">
        <v>12</v>
      </c>
      <c r="G260" t="s">
        <v>10</v>
      </c>
      <c r="H260">
        <v>4</v>
      </c>
      <c r="I260" s="2">
        <f>VLOOKUP(B260,users!$A$1:$B$366,2,0)</f>
        <v>45891</v>
      </c>
      <c r="J260" s="3" t="str">
        <f>IFERROR(VLOOKUP(C260, merchants!$A$1:$D$41, 3, FALSE), "Data Missing")</f>
        <v>travel</v>
      </c>
      <c r="K260" s="3" t="str">
        <f>IFERROR(VLOOKUP(C260, merchants!$A$1:$D$41, 4, FALSE), "Data Missing")</f>
        <v>South</v>
      </c>
      <c r="L260" s="7">
        <f>HLOOKUP(F260,payment_method!$A$1:$E$2,2,0)</f>
        <v>0</v>
      </c>
      <c r="M260" s="3" t="str">
        <f>IF(AND(E260&gt;5000, L260&lt;&gt;"East"), "High-Value Merchant Day", "Normal Day")</f>
        <v>Normal Day</v>
      </c>
    </row>
    <row r="261" spans="1:13" x14ac:dyDescent="0.3">
      <c r="A261" t="s">
        <v>274</v>
      </c>
      <c r="B261">
        <v>317</v>
      </c>
      <c r="C261">
        <v>9</v>
      </c>
      <c r="D261" s="1">
        <v>46044.455555555556</v>
      </c>
      <c r="E261">
        <v>499</v>
      </c>
      <c r="F261" t="s">
        <v>9</v>
      </c>
      <c r="G261" t="s">
        <v>10</v>
      </c>
      <c r="H261">
        <v>76</v>
      </c>
      <c r="I261" s="2">
        <f>VLOOKUP(B261,users!$A$1:$B$366,2,0)</f>
        <v>45493</v>
      </c>
      <c r="J261" s="3" t="str">
        <f>IFERROR(VLOOKUP(C261, merchants!$A$1:$D$41, 3, FALSE), "Data Missing")</f>
        <v>ecommerce</v>
      </c>
      <c r="K261" s="3" t="str">
        <f>IFERROR(VLOOKUP(C261, merchants!$A$1:$D$41, 4, FALSE), "Data Missing")</f>
        <v>North</v>
      </c>
      <c r="L261" s="7">
        <f>HLOOKUP(F261,payment_method!$A$1:$E$2,2,0)</f>
        <v>1.2E-2</v>
      </c>
      <c r="M261" s="3" t="str">
        <f>IF(AND(E261&gt;5000, L261&lt;&gt;"East"), "High-Value Merchant Day", "Normal Day")</f>
        <v>Normal Day</v>
      </c>
    </row>
    <row r="262" spans="1:13" x14ac:dyDescent="0.3">
      <c r="A262" t="s">
        <v>275</v>
      </c>
      <c r="B262">
        <v>93</v>
      </c>
      <c r="C262">
        <v>40</v>
      </c>
      <c r="D262" s="1">
        <v>46035.173611111109</v>
      </c>
      <c r="E262">
        <v>299</v>
      </c>
      <c r="F262" t="s">
        <v>12</v>
      </c>
      <c r="G262" t="s">
        <v>10</v>
      </c>
      <c r="H262">
        <v>21</v>
      </c>
      <c r="I262" s="2">
        <f>VLOOKUP(B262,users!$A$1:$B$366,2,0)</f>
        <v>45493</v>
      </c>
      <c r="J262" s="3" t="str">
        <f>IFERROR(VLOOKUP(C262, merchants!$A$1:$D$41, 3, FALSE), "Data Missing")</f>
        <v>entertainment</v>
      </c>
      <c r="K262" s="3" t="str">
        <f>IFERROR(VLOOKUP(C262, merchants!$A$1:$D$41, 4, FALSE), "Data Missing")</f>
        <v>South</v>
      </c>
      <c r="L262" s="7">
        <f>HLOOKUP(F262,payment_method!$A$1:$E$2,2,0)</f>
        <v>0</v>
      </c>
      <c r="M262" s="3" t="str">
        <f>IF(AND(E262&gt;5000, L262&lt;&gt;"East"), "High-Value Merchant Day", "Normal Day")</f>
        <v>Normal Day</v>
      </c>
    </row>
    <row r="263" spans="1:13" x14ac:dyDescent="0.3">
      <c r="A263" t="s">
        <v>276</v>
      </c>
      <c r="B263">
        <v>211</v>
      </c>
      <c r="C263">
        <v>24</v>
      </c>
      <c r="D263" s="1">
        <v>46046.584722222222</v>
      </c>
      <c r="E263">
        <v>99</v>
      </c>
      <c r="F263" t="s">
        <v>15</v>
      </c>
      <c r="G263" t="s">
        <v>10</v>
      </c>
      <c r="H263">
        <v>86</v>
      </c>
      <c r="I263" s="2">
        <f>VLOOKUP(B263,users!$A$1:$B$366,2,0)</f>
        <v>45594</v>
      </c>
      <c r="J263" s="3" t="str">
        <f>IFERROR(VLOOKUP(C263, merchants!$A$1:$D$41, 3, FALSE), "Data Missing")</f>
        <v>grocery</v>
      </c>
      <c r="K263" s="3" t="str">
        <f>IFERROR(VLOOKUP(C263, merchants!$A$1:$D$41, 4, FALSE), "Data Missing")</f>
        <v>North</v>
      </c>
      <c r="L263" s="7">
        <f>HLOOKUP(F263,payment_method!$A$1:$E$2,2,0)</f>
        <v>1.4999999999999999E-2</v>
      </c>
      <c r="M263" s="3" t="str">
        <f>IF(AND(E263&gt;5000, L263&lt;&gt;"East"), "High-Value Merchant Day", "Normal Day")</f>
        <v>Normal Day</v>
      </c>
    </row>
    <row r="264" spans="1:13" x14ac:dyDescent="0.3">
      <c r="A264" t="s">
        <v>277</v>
      </c>
      <c r="B264">
        <v>313</v>
      </c>
      <c r="C264">
        <v>19</v>
      </c>
      <c r="D264" s="1">
        <v>46046.311111111114</v>
      </c>
      <c r="E264">
        <v>149</v>
      </c>
      <c r="F264" t="s">
        <v>12</v>
      </c>
      <c r="G264" t="s">
        <v>10</v>
      </c>
      <c r="H264">
        <v>96</v>
      </c>
      <c r="I264" s="2">
        <f>VLOOKUP(B264,users!$A$1:$B$366,2,0)</f>
        <v>45785</v>
      </c>
      <c r="J264" s="3" t="str">
        <f>IFERROR(VLOOKUP(C264, merchants!$A$1:$D$41, 3, FALSE), "Data Missing")</f>
        <v>grocery</v>
      </c>
      <c r="K264" s="3" t="str">
        <f>IFERROR(VLOOKUP(C264, merchants!$A$1:$D$41, 4, FALSE), "Data Missing")</f>
        <v>North</v>
      </c>
      <c r="L264" s="7">
        <f>HLOOKUP(F264,payment_method!$A$1:$E$2,2,0)</f>
        <v>0</v>
      </c>
      <c r="M264" s="3" t="str">
        <f>IF(AND(E264&gt;5000, L264&lt;&gt;"East"), "High-Value Merchant Day", "Normal Day")</f>
        <v>Normal Day</v>
      </c>
    </row>
    <row r="265" spans="1:13" x14ac:dyDescent="0.3">
      <c r="A265" t="s">
        <v>278</v>
      </c>
      <c r="B265">
        <v>274</v>
      </c>
      <c r="C265">
        <v>16</v>
      </c>
      <c r="D265" s="1">
        <v>46046.593055555553</v>
      </c>
      <c r="E265">
        <v>49</v>
      </c>
      <c r="F265" t="s">
        <v>9</v>
      </c>
      <c r="G265" t="s">
        <v>25</v>
      </c>
      <c r="H265">
        <v>39</v>
      </c>
      <c r="I265" s="2">
        <f>VLOOKUP(B265,users!$A$1:$B$366,2,0)</f>
        <v>45524</v>
      </c>
      <c r="J265" s="3" t="str">
        <f>IFERROR(VLOOKUP(C265, merchants!$A$1:$D$41, 3, FALSE), "Data Missing")</f>
        <v>bill_payment</v>
      </c>
      <c r="K265" s="3" t="str">
        <f>IFERROR(VLOOKUP(C265, merchants!$A$1:$D$41, 4, FALSE), "Data Missing")</f>
        <v>West</v>
      </c>
      <c r="L265" s="7">
        <f>HLOOKUP(F265,payment_method!$A$1:$E$2,2,0)</f>
        <v>1.2E-2</v>
      </c>
      <c r="M265" s="3" t="str">
        <f>IF(AND(E265&gt;5000, L265&lt;&gt;"East"), "High-Value Merchant Day", "Normal Day")</f>
        <v>Normal Day</v>
      </c>
    </row>
    <row r="266" spans="1:13" x14ac:dyDescent="0.3">
      <c r="A266" t="s">
        <v>279</v>
      </c>
      <c r="B266">
        <v>100</v>
      </c>
      <c r="C266">
        <v>24</v>
      </c>
      <c r="D266" s="1">
        <v>46048.664583333331</v>
      </c>
      <c r="E266">
        <v>299</v>
      </c>
      <c r="F266" t="s">
        <v>12</v>
      </c>
      <c r="G266" t="s">
        <v>10</v>
      </c>
      <c r="H266">
        <v>86</v>
      </c>
      <c r="I266" s="2">
        <f>VLOOKUP(B266,users!$A$1:$B$366,2,0)</f>
        <v>45747</v>
      </c>
      <c r="J266" s="3" t="str">
        <f>IFERROR(VLOOKUP(C266, merchants!$A$1:$D$41, 3, FALSE), "Data Missing")</f>
        <v>grocery</v>
      </c>
      <c r="K266" s="3" t="str">
        <f>IFERROR(VLOOKUP(C266, merchants!$A$1:$D$41, 4, FALSE), "Data Missing")</f>
        <v>North</v>
      </c>
      <c r="L266" s="7">
        <f>HLOOKUP(F266,payment_method!$A$1:$E$2,2,0)</f>
        <v>0</v>
      </c>
      <c r="M266" s="3" t="str">
        <f>IF(AND(E266&gt;5000, L266&lt;&gt;"East"), "High-Value Merchant Day", "Normal Day")</f>
        <v>Normal Day</v>
      </c>
    </row>
    <row r="267" spans="1:13" x14ac:dyDescent="0.3">
      <c r="A267" t="s">
        <v>280</v>
      </c>
      <c r="B267">
        <v>145</v>
      </c>
      <c r="C267">
        <v>25</v>
      </c>
      <c r="D267" s="1">
        <v>46041.603472222225</v>
      </c>
      <c r="E267">
        <v>2999</v>
      </c>
      <c r="F267" t="s">
        <v>9</v>
      </c>
      <c r="G267" t="s">
        <v>10</v>
      </c>
      <c r="H267">
        <v>64</v>
      </c>
      <c r="I267" s="2">
        <f>VLOOKUP(B267,users!$A$1:$B$366,2,0)</f>
        <v>45961</v>
      </c>
      <c r="J267" s="3" t="str">
        <f>IFERROR(VLOOKUP(C267, merchants!$A$1:$D$41, 3, FALSE), "Data Missing")</f>
        <v>travel</v>
      </c>
      <c r="K267" s="3" t="str">
        <f>IFERROR(VLOOKUP(C267, merchants!$A$1:$D$41, 4, FALSE), "Data Missing")</f>
        <v>South</v>
      </c>
      <c r="L267" s="7">
        <f>HLOOKUP(F267,payment_method!$A$1:$E$2,2,0)</f>
        <v>1.2E-2</v>
      </c>
      <c r="M267" s="3" t="str">
        <f>IF(AND(E267&gt;5000, L267&lt;&gt;"East"), "High-Value Merchant Day", "Normal Day")</f>
        <v>Normal Day</v>
      </c>
    </row>
    <row r="268" spans="1:13" x14ac:dyDescent="0.3">
      <c r="A268" t="s">
        <v>281</v>
      </c>
      <c r="B268">
        <v>103</v>
      </c>
      <c r="C268">
        <v>39</v>
      </c>
      <c r="D268" s="1">
        <v>46039.548611111109</v>
      </c>
      <c r="E268">
        <v>2999</v>
      </c>
      <c r="F268" t="s">
        <v>9</v>
      </c>
      <c r="G268" t="s">
        <v>10</v>
      </c>
      <c r="H268">
        <v>17</v>
      </c>
      <c r="I268" s="2">
        <f>VLOOKUP(B268,users!$A$1:$B$366,2,0)</f>
        <v>45906</v>
      </c>
      <c r="J268" s="3" t="str">
        <f>IFERROR(VLOOKUP(C268, merchants!$A$1:$D$41, 3, FALSE), "Data Missing")</f>
        <v>entertainment</v>
      </c>
      <c r="K268" s="3" t="str">
        <f>IFERROR(VLOOKUP(C268, merchants!$A$1:$D$41, 4, FALSE), "Data Missing")</f>
        <v>North</v>
      </c>
      <c r="L268" s="7">
        <f>HLOOKUP(F268,payment_method!$A$1:$E$2,2,0)</f>
        <v>1.2E-2</v>
      </c>
      <c r="M268" s="3" t="str">
        <f>IF(AND(E268&gt;5000, L268&lt;&gt;"East"), "High-Value Merchant Day", "Normal Day")</f>
        <v>Normal Day</v>
      </c>
    </row>
    <row r="269" spans="1:13" x14ac:dyDescent="0.3">
      <c r="A269" t="s">
        <v>282</v>
      </c>
      <c r="B269">
        <v>329</v>
      </c>
      <c r="C269">
        <v>31</v>
      </c>
      <c r="D269" s="1">
        <v>46050.335416666669</v>
      </c>
      <c r="E269">
        <v>299</v>
      </c>
      <c r="F269" t="s">
        <v>9</v>
      </c>
      <c r="G269" t="s">
        <v>10</v>
      </c>
      <c r="H269">
        <v>47</v>
      </c>
      <c r="I269" s="2">
        <f>VLOOKUP(B269,users!$A$1:$B$366,2,0)</f>
        <v>45725</v>
      </c>
      <c r="J269" s="3" t="str">
        <f>IFERROR(VLOOKUP(C269, merchants!$A$1:$D$41, 3, FALSE), "Data Missing")</f>
        <v>bill_payment</v>
      </c>
      <c r="K269" s="3" t="str">
        <f>IFERROR(VLOOKUP(C269, merchants!$A$1:$D$41, 4, FALSE), "Data Missing")</f>
        <v>East</v>
      </c>
      <c r="L269" s="7">
        <f>HLOOKUP(F269,payment_method!$A$1:$E$2,2,0)</f>
        <v>1.2E-2</v>
      </c>
      <c r="M269" s="3" t="str">
        <f>IF(AND(E269&gt;5000, L269&lt;&gt;"East"), "High-Value Merchant Day", "Normal Day")</f>
        <v>Normal Day</v>
      </c>
    </row>
    <row r="270" spans="1:13" x14ac:dyDescent="0.3">
      <c r="A270" t="s">
        <v>283</v>
      </c>
      <c r="B270">
        <v>265</v>
      </c>
      <c r="C270">
        <v>8</v>
      </c>
      <c r="D270" s="1">
        <v>46040.15625</v>
      </c>
      <c r="E270">
        <v>499</v>
      </c>
      <c r="F270" t="s">
        <v>15</v>
      </c>
      <c r="G270" t="s">
        <v>10</v>
      </c>
      <c r="H270">
        <v>36</v>
      </c>
      <c r="I270" s="2">
        <f>VLOOKUP(B270,users!$A$1:$B$366,2,0)</f>
        <v>45588</v>
      </c>
      <c r="J270" s="3" t="str">
        <f>IFERROR(VLOOKUP(C270, merchants!$A$1:$D$41, 3, FALSE), "Data Missing")</f>
        <v>food_delivery</v>
      </c>
      <c r="K270" s="3" t="str">
        <f>IFERROR(VLOOKUP(C270, merchants!$A$1:$D$41, 4, FALSE), "Data Missing")</f>
        <v>North</v>
      </c>
      <c r="L270" s="7">
        <f>HLOOKUP(F270,payment_method!$A$1:$E$2,2,0)</f>
        <v>1.4999999999999999E-2</v>
      </c>
      <c r="M270" s="3" t="str">
        <f>IF(AND(E270&gt;5000, L270&lt;&gt;"East"), "High-Value Merchant Day", "Normal Day")</f>
        <v>Normal Day</v>
      </c>
    </row>
    <row r="271" spans="1:13" x14ac:dyDescent="0.3">
      <c r="A271" t="s">
        <v>284</v>
      </c>
      <c r="B271">
        <v>231</v>
      </c>
      <c r="C271">
        <v>33</v>
      </c>
      <c r="D271" s="1">
        <v>46025.220138888886</v>
      </c>
      <c r="E271">
        <v>149</v>
      </c>
      <c r="F271" t="s">
        <v>12</v>
      </c>
      <c r="G271" t="s">
        <v>25</v>
      </c>
      <c r="H271">
        <v>18</v>
      </c>
      <c r="I271" s="2">
        <f>VLOOKUP(B271,users!$A$1:$B$366,2,0)</f>
        <v>45505</v>
      </c>
      <c r="J271" s="3" t="str">
        <f>IFERROR(VLOOKUP(C271, merchants!$A$1:$D$41, 3, FALSE), "Data Missing")</f>
        <v>bill_payment</v>
      </c>
      <c r="K271" s="3" t="str">
        <f>IFERROR(VLOOKUP(C271, merchants!$A$1:$D$41, 4, FALSE), "Data Missing")</f>
        <v>East</v>
      </c>
      <c r="L271" s="7">
        <f>HLOOKUP(F271,payment_method!$A$1:$E$2,2,0)</f>
        <v>0</v>
      </c>
      <c r="M271" s="3" t="str">
        <f>IF(AND(E271&gt;5000, L271&lt;&gt;"East"), "High-Value Merchant Day", "Normal Day")</f>
        <v>Normal Day</v>
      </c>
    </row>
    <row r="272" spans="1:13" x14ac:dyDescent="0.3">
      <c r="A272" t="s">
        <v>285</v>
      </c>
      <c r="B272">
        <v>114</v>
      </c>
      <c r="C272">
        <v>29</v>
      </c>
      <c r="D272" s="1">
        <v>46049.545138888891</v>
      </c>
      <c r="E272">
        <v>799</v>
      </c>
      <c r="F272" t="s">
        <v>12</v>
      </c>
      <c r="G272" t="s">
        <v>38</v>
      </c>
      <c r="H272">
        <v>44</v>
      </c>
      <c r="I272" s="2">
        <f>VLOOKUP(B272,users!$A$1:$B$366,2,0)</f>
        <v>45453</v>
      </c>
      <c r="J272" s="3" t="str">
        <f>IFERROR(VLOOKUP(C272, merchants!$A$1:$D$41, 3, FALSE), "Data Missing")</f>
        <v>ecommerce</v>
      </c>
      <c r="K272" s="3" t="str">
        <f>IFERROR(VLOOKUP(C272, merchants!$A$1:$D$41, 4, FALSE), "Data Missing")</f>
        <v>North</v>
      </c>
      <c r="L272" s="7">
        <f>HLOOKUP(F272,payment_method!$A$1:$E$2,2,0)</f>
        <v>0</v>
      </c>
      <c r="M272" s="3" t="str">
        <f>IF(AND(E272&gt;5000, L272&lt;&gt;"East"), "High-Value Merchant Day", "Normal Day")</f>
        <v>Normal Day</v>
      </c>
    </row>
    <row r="273" spans="1:13" x14ac:dyDescent="0.3">
      <c r="A273" t="s">
        <v>286</v>
      </c>
      <c r="B273">
        <v>28</v>
      </c>
      <c r="C273">
        <v>26</v>
      </c>
      <c r="D273" s="1">
        <v>46052.018055555556</v>
      </c>
      <c r="E273">
        <v>1499</v>
      </c>
      <c r="F273" t="s">
        <v>12</v>
      </c>
      <c r="G273" t="s">
        <v>25</v>
      </c>
      <c r="H273">
        <v>64</v>
      </c>
      <c r="I273" s="2">
        <f>VLOOKUP(B273,users!$A$1:$B$366,2,0)</f>
        <v>45722</v>
      </c>
      <c r="J273" s="3" t="str">
        <f>IFERROR(VLOOKUP(C273, merchants!$A$1:$D$41, 3, FALSE), "Data Missing")</f>
        <v>food_delivery</v>
      </c>
      <c r="K273" s="3" t="str">
        <f>IFERROR(VLOOKUP(C273, merchants!$A$1:$D$41, 4, FALSE), "Data Missing")</f>
        <v>East</v>
      </c>
      <c r="L273" s="7">
        <f>HLOOKUP(F273,payment_method!$A$1:$E$2,2,0)</f>
        <v>0</v>
      </c>
      <c r="M273" s="3" t="str">
        <f>IF(AND(E273&gt;5000, L273&lt;&gt;"East"), "High-Value Merchant Day", "Normal Day")</f>
        <v>Normal Day</v>
      </c>
    </row>
    <row r="274" spans="1:13" x14ac:dyDescent="0.3">
      <c r="A274" t="s">
        <v>287</v>
      </c>
      <c r="B274">
        <v>42</v>
      </c>
      <c r="C274">
        <v>24</v>
      </c>
      <c r="D274" s="1">
        <v>46034.308333333334</v>
      </c>
      <c r="E274">
        <v>149</v>
      </c>
      <c r="F274" t="s">
        <v>12</v>
      </c>
      <c r="G274" t="s">
        <v>10</v>
      </c>
      <c r="H274">
        <v>28</v>
      </c>
      <c r="I274" s="2">
        <f>VLOOKUP(B274,users!$A$1:$B$366,2,0)</f>
        <v>45488</v>
      </c>
      <c r="J274" s="3" t="str">
        <f>IFERROR(VLOOKUP(C274, merchants!$A$1:$D$41, 3, FALSE), "Data Missing")</f>
        <v>grocery</v>
      </c>
      <c r="K274" s="3" t="str">
        <f>IFERROR(VLOOKUP(C274, merchants!$A$1:$D$41, 4, FALSE), "Data Missing")</f>
        <v>North</v>
      </c>
      <c r="L274" s="7">
        <f>HLOOKUP(F274,payment_method!$A$1:$E$2,2,0)</f>
        <v>0</v>
      </c>
      <c r="M274" s="3" t="str">
        <f>IF(AND(E274&gt;5000, L274&lt;&gt;"East"), "High-Value Merchant Day", "Normal Day")</f>
        <v>Normal Day</v>
      </c>
    </row>
    <row r="275" spans="1:13" x14ac:dyDescent="0.3">
      <c r="A275" t="s">
        <v>288</v>
      </c>
      <c r="B275">
        <v>51</v>
      </c>
      <c r="C275">
        <v>22</v>
      </c>
      <c r="D275" s="1">
        <v>46023.457638888889</v>
      </c>
      <c r="E275">
        <v>799</v>
      </c>
      <c r="F275" t="s">
        <v>12</v>
      </c>
      <c r="G275" t="s">
        <v>10</v>
      </c>
      <c r="H275">
        <v>18</v>
      </c>
      <c r="I275" s="2">
        <f>VLOOKUP(B275,users!$A$1:$B$366,2,0)</f>
        <v>45383</v>
      </c>
      <c r="J275" s="3" t="str">
        <f>IFERROR(VLOOKUP(C275, merchants!$A$1:$D$41, 3, FALSE), "Data Missing")</f>
        <v>travel</v>
      </c>
      <c r="K275" s="3" t="str">
        <f>IFERROR(VLOOKUP(C275, merchants!$A$1:$D$41, 4, FALSE), "Data Missing")</f>
        <v>South</v>
      </c>
      <c r="L275" s="7">
        <f>HLOOKUP(F275,payment_method!$A$1:$E$2,2,0)</f>
        <v>0</v>
      </c>
      <c r="M275" s="3" t="str">
        <f>IF(AND(E275&gt;5000, L275&lt;&gt;"East"), "High-Value Merchant Day", "Normal Day")</f>
        <v>Normal Day</v>
      </c>
    </row>
    <row r="276" spans="1:13" x14ac:dyDescent="0.3">
      <c r="A276" t="s">
        <v>289</v>
      </c>
      <c r="B276">
        <v>242</v>
      </c>
      <c r="C276">
        <v>9</v>
      </c>
      <c r="D276" s="1">
        <v>46027.054166666669</v>
      </c>
      <c r="E276">
        <v>149</v>
      </c>
      <c r="F276" t="s">
        <v>12</v>
      </c>
      <c r="G276" t="s">
        <v>10</v>
      </c>
      <c r="H276">
        <v>97</v>
      </c>
      <c r="I276" s="2">
        <f>VLOOKUP(B276,users!$A$1:$B$366,2,0)</f>
        <v>45302</v>
      </c>
      <c r="J276" s="3" t="str">
        <f>IFERROR(VLOOKUP(C276, merchants!$A$1:$D$41, 3, FALSE), "Data Missing")</f>
        <v>ecommerce</v>
      </c>
      <c r="K276" s="3" t="str">
        <f>IFERROR(VLOOKUP(C276, merchants!$A$1:$D$41, 4, FALSE), "Data Missing")</f>
        <v>North</v>
      </c>
      <c r="L276" s="7">
        <f>HLOOKUP(F276,payment_method!$A$1:$E$2,2,0)</f>
        <v>0</v>
      </c>
      <c r="M276" s="3" t="str">
        <f>IF(AND(E276&gt;5000, L276&lt;&gt;"East"), "High-Value Merchant Day", "Normal Day")</f>
        <v>Normal Day</v>
      </c>
    </row>
    <row r="277" spans="1:13" x14ac:dyDescent="0.3">
      <c r="A277" t="s">
        <v>290</v>
      </c>
      <c r="B277">
        <v>316</v>
      </c>
      <c r="C277">
        <v>1</v>
      </c>
      <c r="D277" s="1">
        <v>46045.644444444442</v>
      </c>
      <c r="E277">
        <v>149</v>
      </c>
      <c r="F277" t="s">
        <v>12</v>
      </c>
      <c r="G277" t="s">
        <v>10</v>
      </c>
      <c r="H277">
        <v>10</v>
      </c>
      <c r="I277" s="2">
        <f>VLOOKUP(B277,users!$A$1:$B$366,2,0)</f>
        <v>45476</v>
      </c>
      <c r="J277" s="3" t="str">
        <f>IFERROR(VLOOKUP(C277, merchants!$A$1:$D$41, 3, FALSE), "Data Missing")</f>
        <v>ecommerce</v>
      </c>
      <c r="K277" s="3" t="str">
        <f>IFERROR(VLOOKUP(C277, merchants!$A$1:$D$41, 4, FALSE), "Data Missing")</f>
        <v>South</v>
      </c>
      <c r="L277" s="7">
        <f>HLOOKUP(F277,payment_method!$A$1:$E$2,2,0)</f>
        <v>0</v>
      </c>
      <c r="M277" s="3" t="str">
        <f>IF(AND(E277&gt;5000, L277&lt;&gt;"East"), "High-Value Merchant Day", "Normal Day")</f>
        <v>Normal Day</v>
      </c>
    </row>
    <row r="278" spans="1:13" x14ac:dyDescent="0.3">
      <c r="A278" t="s">
        <v>291</v>
      </c>
      <c r="B278">
        <v>77</v>
      </c>
      <c r="C278">
        <v>36</v>
      </c>
      <c r="D278" s="1">
        <v>46023.342361111114</v>
      </c>
      <c r="E278">
        <v>149</v>
      </c>
      <c r="F278" t="s">
        <v>12</v>
      </c>
      <c r="G278" t="s">
        <v>10</v>
      </c>
      <c r="H278">
        <v>93</v>
      </c>
      <c r="I278" s="2">
        <f>VLOOKUP(B278,users!$A$1:$B$366,2,0)</f>
        <v>45474</v>
      </c>
      <c r="J278" s="3" t="str">
        <f>IFERROR(VLOOKUP(C278, merchants!$A$1:$D$41, 3, FALSE), "Data Missing")</f>
        <v>entertainment</v>
      </c>
      <c r="K278" s="3" t="str">
        <f>IFERROR(VLOOKUP(C278, merchants!$A$1:$D$41, 4, FALSE), "Data Missing")</f>
        <v>East</v>
      </c>
      <c r="L278" s="7">
        <f>HLOOKUP(F278,payment_method!$A$1:$E$2,2,0)</f>
        <v>0</v>
      </c>
      <c r="M278" s="3" t="str">
        <f>IF(AND(E278&gt;5000, L278&lt;&gt;"East"), "High-Value Merchant Day", "Normal Day")</f>
        <v>Normal Day</v>
      </c>
    </row>
    <row r="279" spans="1:13" x14ac:dyDescent="0.3">
      <c r="A279" t="s">
        <v>292</v>
      </c>
      <c r="B279">
        <v>57</v>
      </c>
      <c r="C279">
        <v>19</v>
      </c>
      <c r="D279" s="1">
        <v>46042.685416666667</v>
      </c>
      <c r="E279">
        <v>49</v>
      </c>
      <c r="F279" t="s">
        <v>12</v>
      </c>
      <c r="G279" t="s">
        <v>10</v>
      </c>
      <c r="H279">
        <v>30</v>
      </c>
      <c r="I279" s="2">
        <f>VLOOKUP(B279,users!$A$1:$B$366,2,0)</f>
        <v>45452</v>
      </c>
      <c r="J279" s="3" t="str">
        <f>IFERROR(VLOOKUP(C279, merchants!$A$1:$D$41, 3, FALSE), "Data Missing")</f>
        <v>grocery</v>
      </c>
      <c r="K279" s="3" t="str">
        <f>IFERROR(VLOOKUP(C279, merchants!$A$1:$D$41, 4, FALSE), "Data Missing")</f>
        <v>North</v>
      </c>
      <c r="L279" s="7">
        <f>HLOOKUP(F279,payment_method!$A$1:$E$2,2,0)</f>
        <v>0</v>
      </c>
      <c r="M279" s="3" t="str">
        <f>IF(AND(E279&gt;5000, L279&lt;&gt;"East"), "High-Value Merchant Day", "Normal Day")</f>
        <v>Normal Day</v>
      </c>
    </row>
    <row r="280" spans="1:13" x14ac:dyDescent="0.3">
      <c r="A280" t="s">
        <v>293</v>
      </c>
      <c r="B280">
        <v>123</v>
      </c>
      <c r="C280">
        <v>27</v>
      </c>
      <c r="D280" s="1">
        <v>46032.127083333333</v>
      </c>
      <c r="E280">
        <v>149</v>
      </c>
      <c r="F280" t="s">
        <v>15</v>
      </c>
      <c r="G280" t="s">
        <v>10</v>
      </c>
      <c r="H280">
        <v>81</v>
      </c>
      <c r="I280" s="2">
        <f>VLOOKUP(B280,users!$A$1:$B$366,2,0)</f>
        <v>45328</v>
      </c>
      <c r="J280" s="3" t="str">
        <f>IFERROR(VLOOKUP(C280, merchants!$A$1:$D$41, 3, FALSE), "Data Missing")</f>
        <v>ecommerce</v>
      </c>
      <c r="K280" s="3" t="str">
        <f>IFERROR(VLOOKUP(C280, merchants!$A$1:$D$41, 4, FALSE), "Data Missing")</f>
        <v>North</v>
      </c>
      <c r="L280" s="7">
        <f>HLOOKUP(F280,payment_method!$A$1:$E$2,2,0)</f>
        <v>1.4999999999999999E-2</v>
      </c>
      <c r="M280" s="3" t="str">
        <f>IF(AND(E280&gt;5000, L280&lt;&gt;"East"), "High-Value Merchant Day", "Normal Day")</f>
        <v>Normal Day</v>
      </c>
    </row>
    <row r="281" spans="1:13" x14ac:dyDescent="0.3">
      <c r="A281" t="s">
        <v>294</v>
      </c>
      <c r="B281">
        <v>33</v>
      </c>
      <c r="C281">
        <v>8</v>
      </c>
      <c r="D281" s="1">
        <v>46048.811805555553</v>
      </c>
      <c r="E281">
        <v>299</v>
      </c>
      <c r="F281" t="s">
        <v>9</v>
      </c>
      <c r="G281" t="s">
        <v>10</v>
      </c>
      <c r="H281">
        <v>63</v>
      </c>
      <c r="I281" s="2">
        <f>VLOOKUP(B281,users!$A$1:$B$366,2,0)</f>
        <v>45724</v>
      </c>
      <c r="J281" s="3" t="str">
        <f>IFERROR(VLOOKUP(C281, merchants!$A$1:$D$41, 3, FALSE), "Data Missing")</f>
        <v>food_delivery</v>
      </c>
      <c r="K281" s="3" t="str">
        <f>IFERROR(VLOOKUP(C281, merchants!$A$1:$D$41, 4, FALSE), "Data Missing")</f>
        <v>North</v>
      </c>
      <c r="L281" s="7">
        <f>HLOOKUP(F281,payment_method!$A$1:$E$2,2,0)</f>
        <v>1.2E-2</v>
      </c>
      <c r="M281" s="3" t="str">
        <f>IF(AND(E281&gt;5000, L281&lt;&gt;"East"), "High-Value Merchant Day", "Normal Day")</f>
        <v>Normal Day</v>
      </c>
    </row>
    <row r="282" spans="1:13" x14ac:dyDescent="0.3">
      <c r="A282" t="s">
        <v>295</v>
      </c>
      <c r="B282">
        <v>324</v>
      </c>
      <c r="C282">
        <v>33</v>
      </c>
      <c r="D282" s="1">
        <v>46042.709027777775</v>
      </c>
      <c r="E282">
        <v>499</v>
      </c>
      <c r="F282" t="s">
        <v>12</v>
      </c>
      <c r="G282" t="s">
        <v>10</v>
      </c>
      <c r="H282">
        <v>73</v>
      </c>
      <c r="I282" s="2">
        <f>VLOOKUP(B282,users!$A$1:$B$366,2,0)</f>
        <v>45948</v>
      </c>
      <c r="J282" s="3" t="str">
        <f>IFERROR(VLOOKUP(C282, merchants!$A$1:$D$41, 3, FALSE), "Data Missing")</f>
        <v>bill_payment</v>
      </c>
      <c r="K282" s="3" t="str">
        <f>IFERROR(VLOOKUP(C282, merchants!$A$1:$D$41, 4, FALSE), "Data Missing")</f>
        <v>East</v>
      </c>
      <c r="L282" s="7">
        <f>HLOOKUP(F282,payment_method!$A$1:$E$2,2,0)</f>
        <v>0</v>
      </c>
      <c r="M282" s="3" t="str">
        <f>IF(AND(E282&gt;5000, L282&lt;&gt;"East"), "High-Value Merchant Day", "Normal Day")</f>
        <v>Normal Day</v>
      </c>
    </row>
    <row r="283" spans="1:13" x14ac:dyDescent="0.3">
      <c r="A283" t="s">
        <v>296</v>
      </c>
      <c r="B283">
        <v>150</v>
      </c>
      <c r="C283">
        <v>28</v>
      </c>
      <c r="D283" s="1">
        <v>46030.92291666667</v>
      </c>
      <c r="E283">
        <v>49</v>
      </c>
      <c r="F283" t="s">
        <v>12</v>
      </c>
      <c r="G283" t="s">
        <v>25</v>
      </c>
      <c r="H283">
        <v>0</v>
      </c>
      <c r="I283" s="2">
        <f>VLOOKUP(B283,users!$A$1:$B$366,2,0)</f>
        <v>45708</v>
      </c>
      <c r="J283" s="3" t="str">
        <f>IFERROR(VLOOKUP(C283, merchants!$A$1:$D$41, 3, FALSE), "Data Missing")</f>
        <v>ecommerce</v>
      </c>
      <c r="K283" s="3" t="str">
        <f>IFERROR(VLOOKUP(C283, merchants!$A$1:$D$41, 4, FALSE), "Data Missing")</f>
        <v>South</v>
      </c>
      <c r="L283" s="7">
        <f>HLOOKUP(F283,payment_method!$A$1:$E$2,2,0)</f>
        <v>0</v>
      </c>
      <c r="M283" s="3" t="str">
        <f>IF(AND(E283&gt;5000, L283&lt;&gt;"East"), "High-Value Merchant Day", "Normal Day")</f>
        <v>Normal Day</v>
      </c>
    </row>
    <row r="284" spans="1:13" x14ac:dyDescent="0.3">
      <c r="A284" t="s">
        <v>297</v>
      </c>
      <c r="B284">
        <v>293</v>
      </c>
      <c r="C284">
        <v>27</v>
      </c>
      <c r="D284" s="1">
        <v>46042.46875</v>
      </c>
      <c r="E284">
        <v>4999</v>
      </c>
      <c r="F284" t="s">
        <v>12</v>
      </c>
      <c r="G284" t="s">
        <v>10</v>
      </c>
      <c r="H284">
        <v>23</v>
      </c>
      <c r="I284" s="2">
        <f>VLOOKUP(B284,users!$A$1:$B$366,2,0)</f>
        <v>45367</v>
      </c>
      <c r="J284" s="3" t="str">
        <f>IFERROR(VLOOKUP(C284, merchants!$A$1:$D$41, 3, FALSE), "Data Missing")</f>
        <v>ecommerce</v>
      </c>
      <c r="K284" s="3" t="str">
        <f>IFERROR(VLOOKUP(C284, merchants!$A$1:$D$41, 4, FALSE), "Data Missing")</f>
        <v>North</v>
      </c>
      <c r="L284" s="7">
        <f>HLOOKUP(F284,payment_method!$A$1:$E$2,2,0)</f>
        <v>0</v>
      </c>
      <c r="M284" s="3" t="str">
        <f>IF(AND(E284&gt;5000, L284&lt;&gt;"East"), "High-Value Merchant Day", "Normal Day")</f>
        <v>Normal Day</v>
      </c>
    </row>
    <row r="285" spans="1:13" x14ac:dyDescent="0.3">
      <c r="A285" t="s">
        <v>298</v>
      </c>
      <c r="B285">
        <v>269</v>
      </c>
      <c r="C285">
        <v>24</v>
      </c>
      <c r="D285" s="1">
        <v>46044.878472222219</v>
      </c>
      <c r="E285">
        <v>49</v>
      </c>
      <c r="F285" t="s">
        <v>9</v>
      </c>
      <c r="G285" t="s">
        <v>10</v>
      </c>
      <c r="H285">
        <v>8</v>
      </c>
      <c r="I285" s="2">
        <f>VLOOKUP(B285,users!$A$1:$B$366,2,0)</f>
        <v>45686</v>
      </c>
      <c r="J285" s="3" t="str">
        <f>IFERROR(VLOOKUP(C285, merchants!$A$1:$D$41, 3, FALSE), "Data Missing")</f>
        <v>grocery</v>
      </c>
      <c r="K285" s="3" t="str">
        <f>IFERROR(VLOOKUP(C285, merchants!$A$1:$D$41, 4, FALSE), "Data Missing")</f>
        <v>North</v>
      </c>
      <c r="L285" s="7">
        <f>HLOOKUP(F285,payment_method!$A$1:$E$2,2,0)</f>
        <v>1.2E-2</v>
      </c>
      <c r="M285" s="3" t="str">
        <f>IF(AND(E285&gt;5000, L285&lt;&gt;"East"), "High-Value Merchant Day", "Normal Day")</f>
        <v>Normal Day</v>
      </c>
    </row>
    <row r="286" spans="1:13" x14ac:dyDescent="0.3">
      <c r="A286" t="s">
        <v>299</v>
      </c>
      <c r="B286">
        <v>260</v>
      </c>
      <c r="C286">
        <v>36</v>
      </c>
      <c r="D286" s="1">
        <v>46039.730555555558</v>
      </c>
      <c r="E286">
        <v>1499</v>
      </c>
      <c r="F286" t="s">
        <v>12</v>
      </c>
      <c r="G286" t="s">
        <v>10</v>
      </c>
      <c r="H286">
        <v>2</v>
      </c>
      <c r="I286" s="2">
        <f>VLOOKUP(B286,users!$A$1:$B$366,2,0)</f>
        <v>45784</v>
      </c>
      <c r="J286" s="3" t="str">
        <f>IFERROR(VLOOKUP(C286, merchants!$A$1:$D$41, 3, FALSE), "Data Missing")</f>
        <v>entertainment</v>
      </c>
      <c r="K286" s="3" t="str">
        <f>IFERROR(VLOOKUP(C286, merchants!$A$1:$D$41, 4, FALSE), "Data Missing")</f>
        <v>East</v>
      </c>
      <c r="L286" s="7">
        <f>HLOOKUP(F286,payment_method!$A$1:$E$2,2,0)</f>
        <v>0</v>
      </c>
      <c r="M286" s="3" t="str">
        <f>IF(AND(E286&gt;5000, L286&lt;&gt;"East"), "High-Value Merchant Day", "Normal Day")</f>
        <v>Normal Day</v>
      </c>
    </row>
    <row r="287" spans="1:13" x14ac:dyDescent="0.3">
      <c r="A287" t="s">
        <v>300</v>
      </c>
      <c r="B287">
        <v>326</v>
      </c>
      <c r="C287">
        <v>25</v>
      </c>
      <c r="D287" s="1">
        <v>46035.626388888886</v>
      </c>
      <c r="E287">
        <v>49</v>
      </c>
      <c r="F287" t="s">
        <v>12</v>
      </c>
      <c r="G287" t="s">
        <v>10</v>
      </c>
      <c r="H287">
        <v>47</v>
      </c>
      <c r="I287" s="2">
        <f>VLOOKUP(B287,users!$A$1:$B$366,2,0)</f>
        <v>45652</v>
      </c>
      <c r="J287" s="3" t="str">
        <f>IFERROR(VLOOKUP(C287, merchants!$A$1:$D$41, 3, FALSE), "Data Missing")</f>
        <v>travel</v>
      </c>
      <c r="K287" s="3" t="str">
        <f>IFERROR(VLOOKUP(C287, merchants!$A$1:$D$41, 4, FALSE), "Data Missing")</f>
        <v>South</v>
      </c>
      <c r="L287" s="7">
        <f>HLOOKUP(F287,payment_method!$A$1:$E$2,2,0)</f>
        <v>0</v>
      </c>
      <c r="M287" s="3" t="str">
        <f>IF(AND(E287&gt;5000, L287&lt;&gt;"East"), "High-Value Merchant Day", "Normal Day")</f>
        <v>Normal Day</v>
      </c>
    </row>
    <row r="288" spans="1:13" x14ac:dyDescent="0.3">
      <c r="A288" t="s">
        <v>301</v>
      </c>
      <c r="B288">
        <v>183</v>
      </c>
      <c r="C288">
        <v>5</v>
      </c>
      <c r="D288" s="1">
        <v>46031.959027777775</v>
      </c>
      <c r="E288">
        <v>49</v>
      </c>
      <c r="F288" t="s">
        <v>24</v>
      </c>
      <c r="G288" t="s">
        <v>10</v>
      </c>
      <c r="H288">
        <v>44</v>
      </c>
      <c r="I288" s="2">
        <f>VLOOKUP(B288,users!$A$1:$B$366,2,0)</f>
        <v>45444</v>
      </c>
      <c r="J288" s="3" t="str">
        <f>IFERROR(VLOOKUP(C288, merchants!$A$1:$D$41, 3, FALSE), "Data Missing")</f>
        <v>recharge</v>
      </c>
      <c r="K288" s="3" t="str">
        <f>IFERROR(VLOOKUP(C288, merchants!$A$1:$D$41, 4, FALSE), "Data Missing")</f>
        <v>South</v>
      </c>
      <c r="L288" s="7">
        <f>HLOOKUP(F288,payment_method!$A$1:$E$2,2,0)</f>
        <v>0.02</v>
      </c>
      <c r="M288" s="3" t="str">
        <f>IF(AND(E288&gt;5000, L288&lt;&gt;"East"), "High-Value Merchant Day", "Normal Day")</f>
        <v>Normal Day</v>
      </c>
    </row>
    <row r="289" spans="1:13" x14ac:dyDescent="0.3">
      <c r="A289" t="s">
        <v>302</v>
      </c>
      <c r="B289">
        <v>322</v>
      </c>
      <c r="C289">
        <v>7</v>
      </c>
      <c r="D289" s="1">
        <v>46030.987500000003</v>
      </c>
      <c r="E289">
        <v>299</v>
      </c>
      <c r="F289" t="s">
        <v>12</v>
      </c>
      <c r="G289" t="s">
        <v>10</v>
      </c>
      <c r="H289">
        <v>98</v>
      </c>
      <c r="I289" s="2">
        <f>VLOOKUP(B289,users!$A$1:$B$366,2,0)</f>
        <v>45560</v>
      </c>
      <c r="J289" s="3" t="str">
        <f>IFERROR(VLOOKUP(C289, merchants!$A$1:$D$41, 3, FALSE), "Data Missing")</f>
        <v>food_delivery</v>
      </c>
      <c r="K289" s="3" t="str">
        <f>IFERROR(VLOOKUP(C289, merchants!$A$1:$D$41, 4, FALSE), "Data Missing")</f>
        <v>East</v>
      </c>
      <c r="L289" s="7">
        <f>HLOOKUP(F289,payment_method!$A$1:$E$2,2,0)</f>
        <v>0</v>
      </c>
      <c r="M289" s="3" t="str">
        <f>IF(AND(E289&gt;5000, L289&lt;&gt;"East"), "High-Value Merchant Day", "Normal Day")</f>
        <v>Normal Day</v>
      </c>
    </row>
    <row r="290" spans="1:13" x14ac:dyDescent="0.3">
      <c r="A290" t="s">
        <v>303</v>
      </c>
      <c r="B290">
        <v>171</v>
      </c>
      <c r="C290">
        <v>9</v>
      </c>
      <c r="D290" s="1">
        <v>46041.991666666669</v>
      </c>
      <c r="E290">
        <v>299</v>
      </c>
      <c r="F290" t="s">
        <v>12</v>
      </c>
      <c r="G290" t="s">
        <v>10</v>
      </c>
      <c r="H290">
        <v>5</v>
      </c>
      <c r="I290" s="2">
        <f>VLOOKUP(B290,users!$A$1:$B$366,2,0)</f>
        <v>45938</v>
      </c>
      <c r="J290" s="3" t="str">
        <f>IFERROR(VLOOKUP(C290, merchants!$A$1:$D$41, 3, FALSE), "Data Missing")</f>
        <v>ecommerce</v>
      </c>
      <c r="K290" s="3" t="str">
        <f>IFERROR(VLOOKUP(C290, merchants!$A$1:$D$41, 4, FALSE), "Data Missing")</f>
        <v>North</v>
      </c>
      <c r="L290" s="7">
        <f>HLOOKUP(F290,payment_method!$A$1:$E$2,2,0)</f>
        <v>0</v>
      </c>
      <c r="M290" s="3" t="str">
        <f>IF(AND(E290&gt;5000, L290&lt;&gt;"East"), "High-Value Merchant Day", "Normal Day")</f>
        <v>Normal Day</v>
      </c>
    </row>
    <row r="291" spans="1:13" x14ac:dyDescent="0.3">
      <c r="A291" t="s">
        <v>304</v>
      </c>
      <c r="B291">
        <v>330</v>
      </c>
      <c r="C291">
        <v>12</v>
      </c>
      <c r="D291" s="1">
        <v>46034.722916666666</v>
      </c>
      <c r="E291">
        <v>1499</v>
      </c>
      <c r="F291" t="s">
        <v>15</v>
      </c>
      <c r="G291" t="s">
        <v>10</v>
      </c>
      <c r="H291">
        <v>99</v>
      </c>
      <c r="I291" s="2">
        <f>VLOOKUP(B291,users!$A$1:$B$366,2,0)</f>
        <v>45828</v>
      </c>
      <c r="J291" s="3" t="str">
        <f>IFERROR(VLOOKUP(C291, merchants!$A$1:$D$41, 3, FALSE), "Data Missing")</f>
        <v>ecommerce</v>
      </c>
      <c r="K291" s="3" t="str">
        <f>IFERROR(VLOOKUP(C291, merchants!$A$1:$D$41, 4, FALSE), "Data Missing")</f>
        <v>East</v>
      </c>
      <c r="L291" s="7">
        <f>HLOOKUP(F291,payment_method!$A$1:$E$2,2,0)</f>
        <v>1.4999999999999999E-2</v>
      </c>
      <c r="M291" s="3" t="str">
        <f>IF(AND(E291&gt;5000, L291&lt;&gt;"East"), "High-Value Merchant Day", "Normal Day")</f>
        <v>Normal Day</v>
      </c>
    </row>
    <row r="292" spans="1:13" x14ac:dyDescent="0.3">
      <c r="A292" t="s">
        <v>305</v>
      </c>
      <c r="B292">
        <v>246</v>
      </c>
      <c r="C292">
        <v>12</v>
      </c>
      <c r="D292" s="1">
        <v>46044.613888888889</v>
      </c>
      <c r="E292">
        <v>99</v>
      </c>
      <c r="F292" t="s">
        <v>9</v>
      </c>
      <c r="G292" t="s">
        <v>10</v>
      </c>
      <c r="H292">
        <v>17</v>
      </c>
      <c r="I292" s="2">
        <f>VLOOKUP(B292,users!$A$1:$B$366,2,0)</f>
        <v>45410</v>
      </c>
      <c r="J292" s="3" t="str">
        <f>IFERROR(VLOOKUP(C292, merchants!$A$1:$D$41, 3, FALSE), "Data Missing")</f>
        <v>ecommerce</v>
      </c>
      <c r="K292" s="3" t="str">
        <f>IFERROR(VLOOKUP(C292, merchants!$A$1:$D$41, 4, FALSE), "Data Missing")</f>
        <v>East</v>
      </c>
      <c r="L292" s="7">
        <f>HLOOKUP(F292,payment_method!$A$1:$E$2,2,0)</f>
        <v>1.2E-2</v>
      </c>
      <c r="M292" s="3" t="str">
        <f>IF(AND(E292&gt;5000, L292&lt;&gt;"East"), "High-Value Merchant Day", "Normal Day")</f>
        <v>Normal Day</v>
      </c>
    </row>
    <row r="293" spans="1:13" x14ac:dyDescent="0.3">
      <c r="A293" t="s">
        <v>306</v>
      </c>
      <c r="B293">
        <v>235</v>
      </c>
      <c r="C293">
        <v>3</v>
      </c>
      <c r="D293" s="1">
        <v>46025.950694444444</v>
      </c>
      <c r="E293">
        <v>49</v>
      </c>
      <c r="F293" t="s">
        <v>12</v>
      </c>
      <c r="G293" t="s">
        <v>10</v>
      </c>
      <c r="H293">
        <v>37</v>
      </c>
      <c r="I293" s="2">
        <f>VLOOKUP(B293,users!$A$1:$B$366,2,0)</f>
        <v>45935</v>
      </c>
      <c r="J293" s="3" t="str">
        <f>IFERROR(VLOOKUP(C293, merchants!$A$1:$D$41, 3, FALSE), "Data Missing")</f>
        <v>grocery</v>
      </c>
      <c r="K293" s="3" t="str">
        <f>IFERROR(VLOOKUP(C293, merchants!$A$1:$D$41, 4, FALSE), "Data Missing")</f>
        <v>East</v>
      </c>
      <c r="L293" s="7">
        <f>HLOOKUP(F293,payment_method!$A$1:$E$2,2,0)</f>
        <v>0</v>
      </c>
      <c r="M293" s="3" t="str">
        <f>IF(AND(E293&gt;5000, L293&lt;&gt;"East"), "High-Value Merchant Day", "Normal Day")</f>
        <v>Normal Day</v>
      </c>
    </row>
    <row r="294" spans="1:13" x14ac:dyDescent="0.3">
      <c r="A294" t="s">
        <v>307</v>
      </c>
      <c r="B294">
        <v>103</v>
      </c>
      <c r="C294">
        <v>3</v>
      </c>
      <c r="D294" s="1">
        <v>46029.076388888891</v>
      </c>
      <c r="E294">
        <v>499</v>
      </c>
      <c r="F294" t="s">
        <v>12</v>
      </c>
      <c r="G294" t="s">
        <v>10</v>
      </c>
      <c r="H294">
        <v>40</v>
      </c>
      <c r="I294" s="2">
        <f>VLOOKUP(B294,users!$A$1:$B$366,2,0)</f>
        <v>45906</v>
      </c>
      <c r="J294" s="3" t="str">
        <f>IFERROR(VLOOKUP(C294, merchants!$A$1:$D$41, 3, FALSE), "Data Missing")</f>
        <v>grocery</v>
      </c>
      <c r="K294" s="3" t="str">
        <f>IFERROR(VLOOKUP(C294, merchants!$A$1:$D$41, 4, FALSE), "Data Missing")</f>
        <v>East</v>
      </c>
      <c r="L294" s="7">
        <f>HLOOKUP(F294,payment_method!$A$1:$E$2,2,0)</f>
        <v>0</v>
      </c>
      <c r="M294" s="3" t="str">
        <f>IF(AND(E294&gt;5000, L294&lt;&gt;"East"), "High-Value Merchant Day", "Normal Day")</f>
        <v>Normal Day</v>
      </c>
    </row>
    <row r="295" spans="1:13" x14ac:dyDescent="0.3">
      <c r="A295" t="s">
        <v>308</v>
      </c>
      <c r="B295">
        <v>204</v>
      </c>
      <c r="C295">
        <v>35</v>
      </c>
      <c r="D295" s="1">
        <v>46052.397222222222</v>
      </c>
      <c r="E295">
        <v>99</v>
      </c>
      <c r="F295" t="s">
        <v>9</v>
      </c>
      <c r="G295" t="s">
        <v>10</v>
      </c>
      <c r="H295">
        <v>60</v>
      </c>
      <c r="I295" s="2">
        <f>VLOOKUP(B295,users!$A$1:$B$366,2,0)</f>
        <v>45501</v>
      </c>
      <c r="J295" s="3" t="str">
        <f>IFERROR(VLOOKUP(C295, merchants!$A$1:$D$41, 3, FALSE), "Data Missing")</f>
        <v>recharge</v>
      </c>
      <c r="K295" s="3" t="str">
        <f>IFERROR(VLOOKUP(C295, merchants!$A$1:$D$41, 4, FALSE), "Data Missing")</f>
        <v>East</v>
      </c>
      <c r="L295" s="7">
        <f>HLOOKUP(F295,payment_method!$A$1:$E$2,2,0)</f>
        <v>1.2E-2</v>
      </c>
      <c r="M295" s="3" t="str">
        <f>IF(AND(E295&gt;5000, L295&lt;&gt;"East"), "High-Value Merchant Day", "Normal Day")</f>
        <v>Normal Day</v>
      </c>
    </row>
    <row r="296" spans="1:13" x14ac:dyDescent="0.3">
      <c r="A296" t="s">
        <v>309</v>
      </c>
      <c r="B296">
        <v>332</v>
      </c>
      <c r="C296">
        <v>13</v>
      </c>
      <c r="D296" s="1">
        <v>46031.074999999997</v>
      </c>
      <c r="E296">
        <v>49</v>
      </c>
      <c r="F296" t="s">
        <v>24</v>
      </c>
      <c r="G296" t="s">
        <v>10</v>
      </c>
      <c r="H296">
        <v>36</v>
      </c>
      <c r="I296" s="2">
        <f>VLOOKUP(B296,users!$A$1:$B$366,2,0)</f>
        <v>45429</v>
      </c>
      <c r="J296" s="3" t="str">
        <f>IFERROR(VLOOKUP(C296, merchants!$A$1:$D$41, 3, FALSE), "Data Missing")</f>
        <v>travel</v>
      </c>
      <c r="K296" s="3" t="str">
        <f>IFERROR(VLOOKUP(C296, merchants!$A$1:$D$41, 4, FALSE), "Data Missing")</f>
        <v>East</v>
      </c>
      <c r="L296" s="7">
        <f>HLOOKUP(F296,payment_method!$A$1:$E$2,2,0)</f>
        <v>0.02</v>
      </c>
      <c r="M296" s="3" t="str">
        <f>IF(AND(E296&gt;5000, L296&lt;&gt;"East"), "High-Value Merchant Day", "Normal Day")</f>
        <v>Normal Day</v>
      </c>
    </row>
    <row r="297" spans="1:13" x14ac:dyDescent="0.3">
      <c r="A297" t="s">
        <v>310</v>
      </c>
      <c r="B297">
        <v>336</v>
      </c>
      <c r="C297">
        <v>22</v>
      </c>
      <c r="D297" s="1">
        <v>46034.079861111109</v>
      </c>
      <c r="E297">
        <v>499</v>
      </c>
      <c r="F297" t="s">
        <v>12</v>
      </c>
      <c r="G297" t="s">
        <v>10</v>
      </c>
      <c r="H297">
        <v>34</v>
      </c>
      <c r="I297" s="2">
        <f>VLOOKUP(B297,users!$A$1:$B$366,2,0)</f>
        <v>45879</v>
      </c>
      <c r="J297" s="3" t="str">
        <f>IFERROR(VLOOKUP(C297, merchants!$A$1:$D$41, 3, FALSE), "Data Missing")</f>
        <v>travel</v>
      </c>
      <c r="K297" s="3" t="str">
        <f>IFERROR(VLOOKUP(C297, merchants!$A$1:$D$41, 4, FALSE), "Data Missing")</f>
        <v>South</v>
      </c>
      <c r="L297" s="7">
        <f>HLOOKUP(F297,payment_method!$A$1:$E$2,2,0)</f>
        <v>0</v>
      </c>
      <c r="M297" s="3" t="str">
        <f>IF(AND(E297&gt;5000, L297&lt;&gt;"East"), "High-Value Merchant Day", "Normal Day")</f>
        <v>Normal Day</v>
      </c>
    </row>
    <row r="298" spans="1:13" x14ac:dyDescent="0.3">
      <c r="A298" t="s">
        <v>311</v>
      </c>
      <c r="B298">
        <v>205</v>
      </c>
      <c r="C298">
        <v>29</v>
      </c>
      <c r="D298" s="1">
        <v>46026.477083333331</v>
      </c>
      <c r="E298">
        <v>99</v>
      </c>
      <c r="F298" t="s">
        <v>9</v>
      </c>
      <c r="G298" t="s">
        <v>10</v>
      </c>
      <c r="H298">
        <v>49</v>
      </c>
      <c r="I298" s="2">
        <f>VLOOKUP(B298,users!$A$1:$B$366,2,0)</f>
        <v>45775</v>
      </c>
      <c r="J298" s="3" t="str">
        <f>IFERROR(VLOOKUP(C298, merchants!$A$1:$D$41, 3, FALSE), "Data Missing")</f>
        <v>ecommerce</v>
      </c>
      <c r="K298" s="3" t="str">
        <f>IFERROR(VLOOKUP(C298, merchants!$A$1:$D$41, 4, FALSE), "Data Missing")</f>
        <v>North</v>
      </c>
      <c r="L298" s="7">
        <f>HLOOKUP(F298,payment_method!$A$1:$E$2,2,0)</f>
        <v>1.2E-2</v>
      </c>
      <c r="M298" s="3" t="str">
        <f>IF(AND(E298&gt;5000, L298&lt;&gt;"East"), "High-Value Merchant Day", "Normal Day")</f>
        <v>Normal Day</v>
      </c>
    </row>
    <row r="299" spans="1:13" x14ac:dyDescent="0.3">
      <c r="A299" t="s">
        <v>312</v>
      </c>
      <c r="B299">
        <v>255</v>
      </c>
      <c r="C299">
        <v>24</v>
      </c>
      <c r="D299" s="1">
        <v>46033.229861111111</v>
      </c>
      <c r="E299">
        <v>799</v>
      </c>
      <c r="F299" t="s">
        <v>12</v>
      </c>
      <c r="G299" t="s">
        <v>10</v>
      </c>
      <c r="H299">
        <v>66</v>
      </c>
      <c r="I299" s="2">
        <f>VLOOKUP(B299,users!$A$1:$B$366,2,0)</f>
        <v>45396</v>
      </c>
      <c r="J299" s="3" t="str">
        <f>IFERROR(VLOOKUP(C299, merchants!$A$1:$D$41, 3, FALSE), "Data Missing")</f>
        <v>grocery</v>
      </c>
      <c r="K299" s="3" t="str">
        <f>IFERROR(VLOOKUP(C299, merchants!$A$1:$D$41, 4, FALSE), "Data Missing")</f>
        <v>North</v>
      </c>
      <c r="L299" s="7">
        <f>HLOOKUP(F299,payment_method!$A$1:$E$2,2,0)</f>
        <v>0</v>
      </c>
      <c r="M299" s="3" t="str">
        <f>IF(AND(E299&gt;5000, L299&lt;&gt;"East"), "High-Value Merchant Day", "Normal Day")</f>
        <v>Normal Day</v>
      </c>
    </row>
    <row r="300" spans="1:13" x14ac:dyDescent="0.3">
      <c r="A300" t="s">
        <v>313</v>
      </c>
      <c r="B300">
        <v>218</v>
      </c>
      <c r="C300">
        <v>6</v>
      </c>
      <c r="D300" s="1">
        <v>46031.115277777775</v>
      </c>
      <c r="E300">
        <v>99</v>
      </c>
      <c r="F300" t="s">
        <v>12</v>
      </c>
      <c r="G300" t="s">
        <v>10</v>
      </c>
      <c r="H300">
        <v>55</v>
      </c>
      <c r="I300" s="2">
        <f>VLOOKUP(B300,users!$A$1:$B$366,2,0)</f>
        <v>45495</v>
      </c>
      <c r="J300" s="3" t="str">
        <f>IFERROR(VLOOKUP(C300, merchants!$A$1:$D$41, 3, FALSE), "Data Missing")</f>
        <v>food_delivery</v>
      </c>
      <c r="K300" s="3" t="str">
        <f>IFERROR(VLOOKUP(C300, merchants!$A$1:$D$41, 4, FALSE), "Data Missing")</f>
        <v>South</v>
      </c>
      <c r="L300" s="7">
        <f>HLOOKUP(F300,payment_method!$A$1:$E$2,2,0)</f>
        <v>0</v>
      </c>
      <c r="M300" s="3" t="str">
        <f>IF(AND(E300&gt;5000, L300&lt;&gt;"East"), "High-Value Merchant Day", "Normal Day")</f>
        <v>Normal Day</v>
      </c>
    </row>
    <row r="301" spans="1:13" x14ac:dyDescent="0.3">
      <c r="A301" t="s">
        <v>314</v>
      </c>
      <c r="B301">
        <v>151</v>
      </c>
      <c r="C301">
        <v>21</v>
      </c>
      <c r="D301" s="1">
        <v>46042.231944444444</v>
      </c>
      <c r="E301">
        <v>49</v>
      </c>
      <c r="F301" t="s">
        <v>12</v>
      </c>
      <c r="G301" t="s">
        <v>10</v>
      </c>
      <c r="H301">
        <v>13</v>
      </c>
      <c r="I301" s="2">
        <f>VLOOKUP(B301,users!$A$1:$B$366,2,0)</f>
        <v>45308</v>
      </c>
      <c r="J301" s="3" t="str">
        <f>IFERROR(VLOOKUP(C301, merchants!$A$1:$D$41, 3, FALSE), "Data Missing")</f>
        <v>food_delivery</v>
      </c>
      <c r="K301" s="3" t="str">
        <f>IFERROR(VLOOKUP(C301, merchants!$A$1:$D$41, 4, FALSE), "Data Missing")</f>
        <v>East</v>
      </c>
      <c r="L301" s="7">
        <f>HLOOKUP(F301,payment_method!$A$1:$E$2,2,0)</f>
        <v>0</v>
      </c>
      <c r="M301" s="3" t="str">
        <f>IF(AND(E301&gt;5000, L301&lt;&gt;"East"), "High-Value Merchant Day", "Normal Day")</f>
        <v>Normal Day</v>
      </c>
    </row>
    <row r="302" spans="1:13" x14ac:dyDescent="0.3">
      <c r="A302" t="s">
        <v>315</v>
      </c>
      <c r="B302">
        <v>152</v>
      </c>
      <c r="C302">
        <v>20</v>
      </c>
      <c r="D302" s="1">
        <v>46025.445833333331</v>
      </c>
      <c r="E302">
        <v>49</v>
      </c>
      <c r="F302" t="s">
        <v>12</v>
      </c>
      <c r="G302" t="s">
        <v>10</v>
      </c>
      <c r="H302">
        <v>57</v>
      </c>
      <c r="I302" s="2">
        <f>VLOOKUP(B302,users!$A$1:$B$366,2,0)</f>
        <v>45496</v>
      </c>
      <c r="J302" s="3" t="str">
        <f>IFERROR(VLOOKUP(C302, merchants!$A$1:$D$41, 3, FALSE), "Data Missing")</f>
        <v>food_delivery</v>
      </c>
      <c r="K302" s="3" t="str">
        <f>IFERROR(VLOOKUP(C302, merchants!$A$1:$D$41, 4, FALSE), "Data Missing")</f>
        <v>East</v>
      </c>
      <c r="L302" s="7">
        <f>HLOOKUP(F302,payment_method!$A$1:$E$2,2,0)</f>
        <v>0</v>
      </c>
      <c r="M302" s="3" t="str">
        <f>IF(AND(E302&gt;5000, L302&lt;&gt;"East"), "High-Value Merchant Day", "Normal Day")</f>
        <v>Normal Day</v>
      </c>
    </row>
    <row r="303" spans="1:13" x14ac:dyDescent="0.3">
      <c r="A303" t="s">
        <v>316</v>
      </c>
      <c r="B303">
        <v>86</v>
      </c>
      <c r="C303">
        <v>29</v>
      </c>
      <c r="D303" s="1">
        <v>46042.935416666667</v>
      </c>
      <c r="E303">
        <v>149</v>
      </c>
      <c r="F303" t="s">
        <v>24</v>
      </c>
      <c r="G303" t="s">
        <v>10</v>
      </c>
      <c r="H303">
        <v>44</v>
      </c>
      <c r="I303" s="2">
        <f>VLOOKUP(B303,users!$A$1:$B$366,2,0)</f>
        <v>45611</v>
      </c>
      <c r="J303" s="3" t="str">
        <f>IFERROR(VLOOKUP(C303, merchants!$A$1:$D$41, 3, FALSE), "Data Missing")</f>
        <v>ecommerce</v>
      </c>
      <c r="K303" s="3" t="str">
        <f>IFERROR(VLOOKUP(C303, merchants!$A$1:$D$41, 4, FALSE), "Data Missing")</f>
        <v>North</v>
      </c>
      <c r="L303" s="7">
        <f>HLOOKUP(F303,payment_method!$A$1:$E$2,2,0)</f>
        <v>0.02</v>
      </c>
      <c r="M303" s="3" t="str">
        <f>IF(AND(E303&gt;5000, L303&lt;&gt;"East"), "High-Value Merchant Day", "Normal Day")</f>
        <v>Normal Day</v>
      </c>
    </row>
    <row r="304" spans="1:13" x14ac:dyDescent="0.3">
      <c r="A304" t="s">
        <v>317</v>
      </c>
      <c r="B304">
        <v>181</v>
      </c>
      <c r="C304">
        <v>40</v>
      </c>
      <c r="D304" s="1">
        <v>46037.073611111111</v>
      </c>
      <c r="E304">
        <v>149</v>
      </c>
      <c r="F304" t="s">
        <v>12</v>
      </c>
      <c r="G304" t="s">
        <v>10</v>
      </c>
      <c r="H304">
        <v>55</v>
      </c>
      <c r="I304" s="2">
        <f>VLOOKUP(B304,users!$A$1:$B$366,2,0)</f>
        <v>45797</v>
      </c>
      <c r="J304" s="3" t="str">
        <f>IFERROR(VLOOKUP(C304, merchants!$A$1:$D$41, 3, FALSE), "Data Missing")</f>
        <v>entertainment</v>
      </c>
      <c r="K304" s="3" t="str">
        <f>IFERROR(VLOOKUP(C304, merchants!$A$1:$D$41, 4, FALSE), "Data Missing")</f>
        <v>South</v>
      </c>
      <c r="L304" s="7">
        <f>HLOOKUP(F304,payment_method!$A$1:$E$2,2,0)</f>
        <v>0</v>
      </c>
      <c r="M304" s="3" t="str">
        <f>IF(AND(E304&gt;5000, L304&lt;&gt;"East"), "High-Value Merchant Day", "Normal Day")</f>
        <v>Normal Day</v>
      </c>
    </row>
    <row r="305" spans="1:13" x14ac:dyDescent="0.3">
      <c r="A305" t="s">
        <v>318</v>
      </c>
      <c r="B305">
        <v>30</v>
      </c>
      <c r="C305">
        <v>5</v>
      </c>
      <c r="D305" s="1">
        <v>46031.868055555555</v>
      </c>
      <c r="E305">
        <v>299</v>
      </c>
      <c r="F305" t="s">
        <v>12</v>
      </c>
      <c r="G305" t="s">
        <v>10</v>
      </c>
      <c r="H305">
        <v>85</v>
      </c>
      <c r="I305" s="2">
        <f>VLOOKUP(B305,users!$A$1:$B$366,2,0)</f>
        <v>45741</v>
      </c>
      <c r="J305" s="3" t="str">
        <f>IFERROR(VLOOKUP(C305, merchants!$A$1:$D$41, 3, FALSE), "Data Missing")</f>
        <v>recharge</v>
      </c>
      <c r="K305" s="3" t="str">
        <f>IFERROR(VLOOKUP(C305, merchants!$A$1:$D$41, 4, FALSE), "Data Missing")</f>
        <v>South</v>
      </c>
      <c r="L305" s="7">
        <f>HLOOKUP(F305,payment_method!$A$1:$E$2,2,0)</f>
        <v>0</v>
      </c>
      <c r="M305" s="3" t="str">
        <f>IF(AND(E305&gt;5000, L305&lt;&gt;"East"), "High-Value Merchant Day", "Normal Day")</f>
        <v>Normal Day</v>
      </c>
    </row>
    <row r="306" spans="1:13" x14ac:dyDescent="0.3">
      <c r="A306" t="s">
        <v>319</v>
      </c>
      <c r="B306">
        <v>263</v>
      </c>
      <c r="C306">
        <v>11</v>
      </c>
      <c r="D306" s="1">
        <v>46043.515972222223</v>
      </c>
      <c r="E306">
        <v>149</v>
      </c>
      <c r="F306" t="s">
        <v>9</v>
      </c>
      <c r="G306" t="s">
        <v>10</v>
      </c>
      <c r="H306">
        <v>3</v>
      </c>
      <c r="I306" s="2">
        <f>VLOOKUP(B306,users!$A$1:$B$366,2,0)</f>
        <v>45749</v>
      </c>
      <c r="J306" s="3" t="str">
        <f>IFERROR(VLOOKUP(C306, merchants!$A$1:$D$41, 3, FALSE), "Data Missing")</f>
        <v>ecommerce</v>
      </c>
      <c r="K306" s="3" t="str">
        <f>IFERROR(VLOOKUP(C306, merchants!$A$1:$D$41, 4, FALSE), "Data Missing")</f>
        <v>North</v>
      </c>
      <c r="L306" s="7">
        <f>HLOOKUP(F306,payment_method!$A$1:$E$2,2,0)</f>
        <v>1.2E-2</v>
      </c>
      <c r="M306" s="3" t="str">
        <f>IF(AND(E306&gt;5000, L306&lt;&gt;"East"), "High-Value Merchant Day", "Normal Day")</f>
        <v>Normal Day</v>
      </c>
    </row>
    <row r="307" spans="1:13" x14ac:dyDescent="0.3">
      <c r="A307" t="s">
        <v>320</v>
      </c>
      <c r="B307">
        <v>225</v>
      </c>
      <c r="C307">
        <v>3</v>
      </c>
      <c r="D307" s="1">
        <v>46027.821527777778</v>
      </c>
      <c r="E307">
        <v>99</v>
      </c>
      <c r="F307" t="s">
        <v>15</v>
      </c>
      <c r="G307" t="s">
        <v>10</v>
      </c>
      <c r="H307">
        <v>16</v>
      </c>
      <c r="I307" s="2">
        <f>VLOOKUP(B307,users!$A$1:$B$366,2,0)</f>
        <v>45438</v>
      </c>
      <c r="J307" s="3" t="str">
        <f>IFERROR(VLOOKUP(C307, merchants!$A$1:$D$41, 3, FALSE), "Data Missing")</f>
        <v>grocery</v>
      </c>
      <c r="K307" s="3" t="str">
        <f>IFERROR(VLOOKUP(C307, merchants!$A$1:$D$41, 4, FALSE), "Data Missing")</f>
        <v>East</v>
      </c>
      <c r="L307" s="7">
        <f>HLOOKUP(F307,payment_method!$A$1:$E$2,2,0)</f>
        <v>1.4999999999999999E-2</v>
      </c>
      <c r="M307" s="3" t="str">
        <f>IF(AND(E307&gt;5000, L307&lt;&gt;"East"), "High-Value Merchant Day", "Normal Day")</f>
        <v>Normal Day</v>
      </c>
    </row>
    <row r="308" spans="1:13" x14ac:dyDescent="0.3">
      <c r="A308" t="s">
        <v>321</v>
      </c>
      <c r="B308">
        <v>331</v>
      </c>
      <c r="C308">
        <v>24</v>
      </c>
      <c r="D308" s="1">
        <v>46025.325694444444</v>
      </c>
      <c r="E308">
        <v>49</v>
      </c>
      <c r="F308" t="s">
        <v>24</v>
      </c>
      <c r="G308" t="s">
        <v>10</v>
      </c>
      <c r="H308">
        <v>46</v>
      </c>
      <c r="I308" s="2">
        <f>VLOOKUP(B308,users!$A$1:$B$366,2,0)</f>
        <v>45541</v>
      </c>
      <c r="J308" s="3" t="str">
        <f>IFERROR(VLOOKUP(C308, merchants!$A$1:$D$41, 3, FALSE), "Data Missing")</f>
        <v>grocery</v>
      </c>
      <c r="K308" s="3" t="str">
        <f>IFERROR(VLOOKUP(C308, merchants!$A$1:$D$41, 4, FALSE), "Data Missing")</f>
        <v>North</v>
      </c>
      <c r="L308" s="7">
        <f>HLOOKUP(F308,payment_method!$A$1:$E$2,2,0)</f>
        <v>0.02</v>
      </c>
      <c r="M308" s="3" t="str">
        <f>IF(AND(E308&gt;5000, L308&lt;&gt;"East"), "High-Value Merchant Day", "Normal Day")</f>
        <v>Normal Day</v>
      </c>
    </row>
    <row r="309" spans="1:13" x14ac:dyDescent="0.3">
      <c r="A309" t="s">
        <v>322</v>
      </c>
      <c r="B309">
        <v>310</v>
      </c>
      <c r="C309">
        <v>10</v>
      </c>
      <c r="D309" s="1">
        <v>46035.751388888886</v>
      </c>
      <c r="E309">
        <v>1499</v>
      </c>
      <c r="F309" t="s">
        <v>24</v>
      </c>
      <c r="G309" t="s">
        <v>10</v>
      </c>
      <c r="H309">
        <v>86</v>
      </c>
      <c r="I309" s="2">
        <f>VLOOKUP(B309,users!$A$1:$B$366,2,0)</f>
        <v>45374</v>
      </c>
      <c r="J309" s="3" t="str">
        <f>IFERROR(VLOOKUP(C309, merchants!$A$1:$D$41, 3, FALSE), "Data Missing")</f>
        <v>grocery</v>
      </c>
      <c r="K309" s="3" t="str">
        <f>IFERROR(VLOOKUP(C309, merchants!$A$1:$D$41, 4, FALSE), "Data Missing")</f>
        <v>West</v>
      </c>
      <c r="L309" s="7">
        <f>HLOOKUP(F309,payment_method!$A$1:$E$2,2,0)</f>
        <v>0.02</v>
      </c>
      <c r="M309" s="3" t="str">
        <f>IF(AND(E309&gt;5000, L309&lt;&gt;"East"), "High-Value Merchant Day", "Normal Day")</f>
        <v>Normal Day</v>
      </c>
    </row>
    <row r="310" spans="1:13" x14ac:dyDescent="0.3">
      <c r="A310" t="s">
        <v>323</v>
      </c>
      <c r="B310">
        <v>228</v>
      </c>
      <c r="C310">
        <v>5</v>
      </c>
      <c r="D310" s="1">
        <v>46037.474305555559</v>
      </c>
      <c r="E310">
        <v>49</v>
      </c>
      <c r="F310" t="s">
        <v>12</v>
      </c>
      <c r="G310" t="s">
        <v>10</v>
      </c>
      <c r="H310">
        <v>73</v>
      </c>
      <c r="I310" s="2">
        <f>VLOOKUP(B310,users!$A$1:$B$366,2,0)</f>
        <v>45935</v>
      </c>
      <c r="J310" s="3" t="str">
        <f>IFERROR(VLOOKUP(C310, merchants!$A$1:$D$41, 3, FALSE), "Data Missing")</f>
        <v>recharge</v>
      </c>
      <c r="K310" s="3" t="str">
        <f>IFERROR(VLOOKUP(C310, merchants!$A$1:$D$41, 4, FALSE), "Data Missing")</f>
        <v>South</v>
      </c>
      <c r="L310" s="7">
        <f>HLOOKUP(F310,payment_method!$A$1:$E$2,2,0)</f>
        <v>0</v>
      </c>
      <c r="M310" s="3" t="str">
        <f>IF(AND(E310&gt;5000, L310&lt;&gt;"East"), "High-Value Merchant Day", "Normal Day")</f>
        <v>Normal Day</v>
      </c>
    </row>
    <row r="311" spans="1:13" x14ac:dyDescent="0.3">
      <c r="A311" t="s">
        <v>324</v>
      </c>
      <c r="B311">
        <v>204</v>
      </c>
      <c r="C311">
        <v>21</v>
      </c>
      <c r="D311" s="1">
        <v>46027.682638888888</v>
      </c>
      <c r="E311">
        <v>499</v>
      </c>
      <c r="F311" t="s">
        <v>12</v>
      </c>
      <c r="G311" t="s">
        <v>10</v>
      </c>
      <c r="H311">
        <v>83</v>
      </c>
      <c r="I311" s="2">
        <f>VLOOKUP(B311,users!$A$1:$B$366,2,0)</f>
        <v>45501</v>
      </c>
      <c r="J311" s="3" t="str">
        <f>IFERROR(VLOOKUP(C311, merchants!$A$1:$D$41, 3, FALSE), "Data Missing")</f>
        <v>food_delivery</v>
      </c>
      <c r="K311" s="3" t="str">
        <f>IFERROR(VLOOKUP(C311, merchants!$A$1:$D$41, 4, FALSE), "Data Missing")</f>
        <v>East</v>
      </c>
      <c r="L311" s="7">
        <f>HLOOKUP(F311,payment_method!$A$1:$E$2,2,0)</f>
        <v>0</v>
      </c>
      <c r="M311" s="3" t="str">
        <f>IF(AND(E311&gt;5000, L311&lt;&gt;"East"), "High-Value Merchant Day", "Normal Day")</f>
        <v>Normal Day</v>
      </c>
    </row>
    <row r="312" spans="1:13" x14ac:dyDescent="0.3">
      <c r="A312" t="s">
        <v>325</v>
      </c>
      <c r="B312">
        <v>14</v>
      </c>
      <c r="C312">
        <v>12</v>
      </c>
      <c r="D312" s="1">
        <v>46031.296527777777</v>
      </c>
      <c r="E312">
        <v>799</v>
      </c>
      <c r="F312" t="s">
        <v>15</v>
      </c>
      <c r="G312" t="s">
        <v>10</v>
      </c>
      <c r="H312">
        <v>63</v>
      </c>
      <c r="I312" s="2">
        <f>VLOOKUP(B312,users!$A$1:$B$366,2,0)</f>
        <v>45670</v>
      </c>
      <c r="J312" s="3" t="str">
        <f>IFERROR(VLOOKUP(C312, merchants!$A$1:$D$41, 3, FALSE), "Data Missing")</f>
        <v>ecommerce</v>
      </c>
      <c r="K312" s="3" t="str">
        <f>IFERROR(VLOOKUP(C312, merchants!$A$1:$D$41, 4, FALSE), "Data Missing")</f>
        <v>East</v>
      </c>
      <c r="L312" s="7">
        <f>HLOOKUP(F312,payment_method!$A$1:$E$2,2,0)</f>
        <v>1.4999999999999999E-2</v>
      </c>
      <c r="M312" s="3" t="str">
        <f>IF(AND(E312&gt;5000, L312&lt;&gt;"East"), "High-Value Merchant Day", "Normal Day")</f>
        <v>Normal Day</v>
      </c>
    </row>
    <row r="313" spans="1:13" x14ac:dyDescent="0.3">
      <c r="A313" t="s">
        <v>326</v>
      </c>
      <c r="B313">
        <v>288</v>
      </c>
      <c r="C313">
        <v>8</v>
      </c>
      <c r="D313" s="1">
        <v>46039.540277777778</v>
      </c>
      <c r="E313">
        <v>49</v>
      </c>
      <c r="F313" t="s">
        <v>12</v>
      </c>
      <c r="G313" t="s">
        <v>10</v>
      </c>
      <c r="H313">
        <v>33</v>
      </c>
      <c r="I313" s="2">
        <f>VLOOKUP(B313,users!$A$1:$B$366,2,0)</f>
        <v>45702</v>
      </c>
      <c r="J313" s="3" t="str">
        <f>IFERROR(VLOOKUP(C313, merchants!$A$1:$D$41, 3, FALSE), "Data Missing")</f>
        <v>food_delivery</v>
      </c>
      <c r="K313" s="3" t="str">
        <f>IFERROR(VLOOKUP(C313, merchants!$A$1:$D$41, 4, FALSE), "Data Missing")</f>
        <v>North</v>
      </c>
      <c r="L313" s="7">
        <f>HLOOKUP(F313,payment_method!$A$1:$E$2,2,0)</f>
        <v>0</v>
      </c>
      <c r="M313" s="3" t="str">
        <f>IF(AND(E313&gt;5000, L313&lt;&gt;"East"), "High-Value Merchant Day", "Normal Day")</f>
        <v>Normal Day</v>
      </c>
    </row>
    <row r="314" spans="1:13" x14ac:dyDescent="0.3">
      <c r="A314" t="s">
        <v>327</v>
      </c>
      <c r="B314">
        <v>229</v>
      </c>
      <c r="C314">
        <v>14</v>
      </c>
      <c r="D314" s="1">
        <v>46047.364583333336</v>
      </c>
      <c r="E314">
        <v>1499</v>
      </c>
      <c r="F314" t="s">
        <v>12</v>
      </c>
      <c r="G314" t="s">
        <v>10</v>
      </c>
      <c r="H314">
        <v>78</v>
      </c>
      <c r="I314" s="2">
        <f>VLOOKUP(B314,users!$A$1:$B$366,2,0)</f>
        <v>45942</v>
      </c>
      <c r="J314" s="3" t="str">
        <f>IFERROR(VLOOKUP(C314, merchants!$A$1:$D$41, 3, FALSE), "Data Missing")</f>
        <v>grocery</v>
      </c>
      <c r="K314" s="3" t="str">
        <f>IFERROR(VLOOKUP(C314, merchants!$A$1:$D$41, 4, FALSE), "Data Missing")</f>
        <v>East</v>
      </c>
      <c r="L314" s="7">
        <f>HLOOKUP(F314,payment_method!$A$1:$E$2,2,0)</f>
        <v>0</v>
      </c>
      <c r="M314" s="3" t="str">
        <f>IF(AND(E314&gt;5000, L314&lt;&gt;"East"), "High-Value Merchant Day", "Normal Day")</f>
        <v>Normal Day</v>
      </c>
    </row>
    <row r="315" spans="1:13" x14ac:dyDescent="0.3">
      <c r="A315" t="s">
        <v>328</v>
      </c>
      <c r="B315">
        <v>252</v>
      </c>
      <c r="C315">
        <v>13</v>
      </c>
      <c r="D315" s="1">
        <v>46032.956944444442</v>
      </c>
      <c r="E315">
        <v>99</v>
      </c>
      <c r="F315" t="s">
        <v>9</v>
      </c>
      <c r="G315" t="s">
        <v>10</v>
      </c>
      <c r="H315">
        <v>15</v>
      </c>
      <c r="I315" s="2">
        <f>VLOOKUP(B315,users!$A$1:$B$366,2,0)</f>
        <v>45910</v>
      </c>
      <c r="J315" s="3" t="str">
        <f>IFERROR(VLOOKUP(C315, merchants!$A$1:$D$41, 3, FALSE), "Data Missing")</f>
        <v>travel</v>
      </c>
      <c r="K315" s="3" t="str">
        <f>IFERROR(VLOOKUP(C315, merchants!$A$1:$D$41, 4, FALSE), "Data Missing")</f>
        <v>East</v>
      </c>
      <c r="L315" s="7">
        <f>HLOOKUP(F315,payment_method!$A$1:$E$2,2,0)</f>
        <v>1.2E-2</v>
      </c>
      <c r="M315" s="3" t="str">
        <f>IF(AND(E315&gt;5000, L315&lt;&gt;"East"), "High-Value Merchant Day", "Normal Day")</f>
        <v>Normal Day</v>
      </c>
    </row>
    <row r="316" spans="1:13" x14ac:dyDescent="0.3">
      <c r="A316" t="s">
        <v>329</v>
      </c>
      <c r="B316">
        <v>89</v>
      </c>
      <c r="C316">
        <v>29</v>
      </c>
      <c r="D316" s="1">
        <v>46027.102777777778</v>
      </c>
      <c r="E316">
        <v>799</v>
      </c>
      <c r="F316" t="s">
        <v>12</v>
      </c>
      <c r="G316" t="s">
        <v>10</v>
      </c>
      <c r="H316">
        <v>11</v>
      </c>
      <c r="I316" s="2">
        <f>VLOOKUP(B316,users!$A$1:$B$366,2,0)</f>
        <v>45450</v>
      </c>
      <c r="J316" s="3" t="str">
        <f>IFERROR(VLOOKUP(C316, merchants!$A$1:$D$41, 3, FALSE), "Data Missing")</f>
        <v>ecommerce</v>
      </c>
      <c r="K316" s="3" t="str">
        <f>IFERROR(VLOOKUP(C316, merchants!$A$1:$D$41, 4, FALSE), "Data Missing")</f>
        <v>North</v>
      </c>
      <c r="L316" s="7">
        <f>HLOOKUP(F316,payment_method!$A$1:$E$2,2,0)</f>
        <v>0</v>
      </c>
      <c r="M316" s="3" t="str">
        <f>IF(AND(E316&gt;5000, L316&lt;&gt;"East"), "High-Value Merchant Day", "Normal Day")</f>
        <v>Normal Day</v>
      </c>
    </row>
    <row r="317" spans="1:13" x14ac:dyDescent="0.3">
      <c r="A317" t="s">
        <v>330</v>
      </c>
      <c r="B317">
        <v>164</v>
      </c>
      <c r="C317">
        <v>23</v>
      </c>
      <c r="D317" s="1">
        <v>46048.912499999999</v>
      </c>
      <c r="E317">
        <v>49</v>
      </c>
      <c r="F317" t="s">
        <v>15</v>
      </c>
      <c r="G317" t="s">
        <v>10</v>
      </c>
      <c r="H317">
        <v>90</v>
      </c>
      <c r="I317" s="2">
        <f>VLOOKUP(B317,users!$A$1:$B$366,2,0)</f>
        <v>45894</v>
      </c>
      <c r="J317" s="3" t="str">
        <f>IFERROR(VLOOKUP(C317, merchants!$A$1:$D$41, 3, FALSE), "Data Missing")</f>
        <v>travel</v>
      </c>
      <c r="K317" s="3" t="str">
        <f>IFERROR(VLOOKUP(C317, merchants!$A$1:$D$41, 4, FALSE), "Data Missing")</f>
        <v>North</v>
      </c>
      <c r="L317" s="7">
        <f>HLOOKUP(F317,payment_method!$A$1:$E$2,2,0)</f>
        <v>1.4999999999999999E-2</v>
      </c>
      <c r="M317" s="3" t="str">
        <f>IF(AND(E317&gt;5000, L317&lt;&gt;"East"), "High-Value Merchant Day", "Normal Day")</f>
        <v>Normal Day</v>
      </c>
    </row>
    <row r="318" spans="1:13" x14ac:dyDescent="0.3">
      <c r="A318" t="s">
        <v>331</v>
      </c>
      <c r="B318">
        <v>149</v>
      </c>
      <c r="C318">
        <v>20</v>
      </c>
      <c r="D318" s="1">
        <v>46025.731944444444</v>
      </c>
      <c r="E318">
        <v>299</v>
      </c>
      <c r="F318" t="s">
        <v>9</v>
      </c>
      <c r="G318" t="s">
        <v>10</v>
      </c>
      <c r="H318">
        <v>20</v>
      </c>
      <c r="I318" s="2">
        <f>VLOOKUP(B318,users!$A$1:$B$366,2,0)</f>
        <v>45750</v>
      </c>
      <c r="J318" s="3" t="str">
        <f>IFERROR(VLOOKUP(C318, merchants!$A$1:$D$41, 3, FALSE), "Data Missing")</f>
        <v>food_delivery</v>
      </c>
      <c r="K318" s="3" t="str">
        <f>IFERROR(VLOOKUP(C318, merchants!$A$1:$D$41, 4, FALSE), "Data Missing")</f>
        <v>East</v>
      </c>
      <c r="L318" s="7">
        <f>HLOOKUP(F318,payment_method!$A$1:$E$2,2,0)</f>
        <v>1.2E-2</v>
      </c>
      <c r="M318" s="3" t="str">
        <f>IF(AND(E318&gt;5000, L318&lt;&gt;"East"), "High-Value Merchant Day", "Normal Day")</f>
        <v>Normal Day</v>
      </c>
    </row>
    <row r="319" spans="1:13" x14ac:dyDescent="0.3">
      <c r="A319" t="s">
        <v>332</v>
      </c>
      <c r="B319">
        <v>327</v>
      </c>
      <c r="C319">
        <v>12</v>
      </c>
      <c r="D319" s="1">
        <v>46045.957638888889</v>
      </c>
      <c r="E319">
        <v>49</v>
      </c>
      <c r="F319" t="s">
        <v>15</v>
      </c>
      <c r="G319" t="s">
        <v>10</v>
      </c>
      <c r="H319">
        <v>46</v>
      </c>
      <c r="I319" s="2">
        <f>VLOOKUP(B319,users!$A$1:$B$366,2,0)</f>
        <v>45860</v>
      </c>
      <c r="J319" s="3" t="str">
        <f>IFERROR(VLOOKUP(C319, merchants!$A$1:$D$41, 3, FALSE), "Data Missing")</f>
        <v>ecommerce</v>
      </c>
      <c r="K319" s="3" t="str">
        <f>IFERROR(VLOOKUP(C319, merchants!$A$1:$D$41, 4, FALSE), "Data Missing")</f>
        <v>East</v>
      </c>
      <c r="L319" s="7">
        <f>HLOOKUP(F319,payment_method!$A$1:$E$2,2,0)</f>
        <v>1.4999999999999999E-2</v>
      </c>
      <c r="M319" s="3" t="str">
        <f>IF(AND(E319&gt;5000, L319&lt;&gt;"East"), "High-Value Merchant Day", "Normal Day")</f>
        <v>Normal Day</v>
      </c>
    </row>
    <row r="320" spans="1:13" x14ac:dyDescent="0.3">
      <c r="A320" t="s">
        <v>333</v>
      </c>
      <c r="B320">
        <v>103</v>
      </c>
      <c r="C320">
        <v>9</v>
      </c>
      <c r="D320" s="1">
        <v>46039.296527777777</v>
      </c>
      <c r="E320">
        <v>149</v>
      </c>
      <c r="F320" t="s">
        <v>12</v>
      </c>
      <c r="G320" t="s">
        <v>10</v>
      </c>
      <c r="H320">
        <v>30</v>
      </c>
      <c r="I320" s="2">
        <f>VLOOKUP(B320,users!$A$1:$B$366,2,0)</f>
        <v>45906</v>
      </c>
      <c r="J320" s="3" t="str">
        <f>IFERROR(VLOOKUP(C320, merchants!$A$1:$D$41, 3, FALSE), "Data Missing")</f>
        <v>ecommerce</v>
      </c>
      <c r="K320" s="3" t="str">
        <f>IFERROR(VLOOKUP(C320, merchants!$A$1:$D$41, 4, FALSE), "Data Missing")</f>
        <v>North</v>
      </c>
      <c r="L320" s="7">
        <f>HLOOKUP(F320,payment_method!$A$1:$E$2,2,0)</f>
        <v>0</v>
      </c>
      <c r="M320" s="3" t="str">
        <f>IF(AND(E320&gt;5000, L320&lt;&gt;"East"), "High-Value Merchant Day", "Normal Day")</f>
        <v>Normal Day</v>
      </c>
    </row>
    <row r="321" spans="1:13" x14ac:dyDescent="0.3">
      <c r="A321" t="s">
        <v>334</v>
      </c>
      <c r="B321">
        <v>185</v>
      </c>
      <c r="C321">
        <v>36</v>
      </c>
      <c r="D321" s="1">
        <v>46048.625694444447</v>
      </c>
      <c r="E321">
        <v>49</v>
      </c>
      <c r="F321" t="s">
        <v>9</v>
      </c>
      <c r="G321" t="s">
        <v>10</v>
      </c>
      <c r="H321">
        <v>73</v>
      </c>
      <c r="I321" s="2">
        <f>VLOOKUP(B321,users!$A$1:$B$366,2,0)</f>
        <v>45850</v>
      </c>
      <c r="J321" s="3" t="str">
        <f>IFERROR(VLOOKUP(C321, merchants!$A$1:$D$41, 3, FALSE), "Data Missing")</f>
        <v>entertainment</v>
      </c>
      <c r="K321" s="3" t="str">
        <f>IFERROR(VLOOKUP(C321, merchants!$A$1:$D$41, 4, FALSE), "Data Missing")</f>
        <v>East</v>
      </c>
      <c r="L321" s="7">
        <f>HLOOKUP(F321,payment_method!$A$1:$E$2,2,0)</f>
        <v>1.2E-2</v>
      </c>
      <c r="M321" s="3" t="str">
        <f>IF(AND(E321&gt;5000, L321&lt;&gt;"East"), "High-Value Merchant Day", "Normal Day")</f>
        <v>Normal Day</v>
      </c>
    </row>
    <row r="322" spans="1:13" x14ac:dyDescent="0.3">
      <c r="A322" t="s">
        <v>335</v>
      </c>
      <c r="B322">
        <v>283</v>
      </c>
      <c r="C322">
        <v>9</v>
      </c>
      <c r="D322" s="1">
        <v>46034.618750000001</v>
      </c>
      <c r="E322">
        <v>299</v>
      </c>
      <c r="F322" t="s">
        <v>12</v>
      </c>
      <c r="G322" t="s">
        <v>10</v>
      </c>
      <c r="H322">
        <v>78</v>
      </c>
      <c r="I322" s="2">
        <f>VLOOKUP(B322,users!$A$1:$B$366,2,0)</f>
        <v>45858</v>
      </c>
      <c r="J322" s="3" t="str">
        <f>IFERROR(VLOOKUP(C322, merchants!$A$1:$D$41, 3, FALSE), "Data Missing")</f>
        <v>ecommerce</v>
      </c>
      <c r="K322" s="3" t="str">
        <f>IFERROR(VLOOKUP(C322, merchants!$A$1:$D$41, 4, FALSE), "Data Missing")</f>
        <v>North</v>
      </c>
      <c r="L322" s="7">
        <f>HLOOKUP(F322,payment_method!$A$1:$E$2,2,0)</f>
        <v>0</v>
      </c>
      <c r="M322" s="3" t="str">
        <f>IF(AND(E322&gt;5000, L322&lt;&gt;"East"), "High-Value Merchant Day", "Normal Day")</f>
        <v>Normal Day</v>
      </c>
    </row>
    <row r="323" spans="1:13" x14ac:dyDescent="0.3">
      <c r="A323" t="s">
        <v>336</v>
      </c>
      <c r="B323">
        <v>159</v>
      </c>
      <c r="C323">
        <v>26</v>
      </c>
      <c r="D323" s="1">
        <v>46051.086111111108</v>
      </c>
      <c r="E323">
        <v>99</v>
      </c>
      <c r="F323" t="s">
        <v>12</v>
      </c>
      <c r="G323" t="s">
        <v>10</v>
      </c>
      <c r="H323">
        <v>91</v>
      </c>
      <c r="I323" s="2">
        <f>VLOOKUP(B323,users!$A$1:$B$366,2,0)</f>
        <v>45745</v>
      </c>
      <c r="J323" s="3" t="str">
        <f>IFERROR(VLOOKUP(C323, merchants!$A$1:$D$41, 3, FALSE), "Data Missing")</f>
        <v>food_delivery</v>
      </c>
      <c r="K323" s="3" t="str">
        <f>IFERROR(VLOOKUP(C323, merchants!$A$1:$D$41, 4, FALSE), "Data Missing")</f>
        <v>East</v>
      </c>
      <c r="L323" s="7">
        <f>HLOOKUP(F323,payment_method!$A$1:$E$2,2,0)</f>
        <v>0</v>
      </c>
      <c r="M323" s="3" t="str">
        <f>IF(AND(E323&gt;5000, L323&lt;&gt;"East"), "High-Value Merchant Day", "Normal Day")</f>
        <v>Normal Day</v>
      </c>
    </row>
    <row r="324" spans="1:13" x14ac:dyDescent="0.3">
      <c r="A324" t="s">
        <v>337</v>
      </c>
      <c r="B324">
        <v>211</v>
      </c>
      <c r="C324">
        <v>27</v>
      </c>
      <c r="D324" s="1">
        <v>46046.647916666669</v>
      </c>
      <c r="E324">
        <v>99</v>
      </c>
      <c r="F324" t="s">
        <v>9</v>
      </c>
      <c r="G324" t="s">
        <v>10</v>
      </c>
      <c r="H324">
        <v>73</v>
      </c>
      <c r="I324" s="2">
        <f>VLOOKUP(B324,users!$A$1:$B$366,2,0)</f>
        <v>45594</v>
      </c>
      <c r="J324" s="3" t="str">
        <f>IFERROR(VLOOKUP(C324, merchants!$A$1:$D$41, 3, FALSE), "Data Missing")</f>
        <v>ecommerce</v>
      </c>
      <c r="K324" s="3" t="str">
        <f>IFERROR(VLOOKUP(C324, merchants!$A$1:$D$41, 4, FALSE), "Data Missing")</f>
        <v>North</v>
      </c>
      <c r="L324" s="7">
        <f>HLOOKUP(F324,payment_method!$A$1:$E$2,2,0)</f>
        <v>1.2E-2</v>
      </c>
      <c r="M324" s="3" t="str">
        <f>IF(AND(E324&gt;5000, L324&lt;&gt;"East"), "High-Value Merchant Day", "Normal Day")</f>
        <v>Normal Day</v>
      </c>
    </row>
    <row r="325" spans="1:13" x14ac:dyDescent="0.3">
      <c r="A325" t="s">
        <v>338</v>
      </c>
      <c r="B325">
        <v>329</v>
      </c>
      <c r="C325">
        <v>5</v>
      </c>
      <c r="D325" s="1">
        <v>46025.180555555555</v>
      </c>
      <c r="E325">
        <v>499</v>
      </c>
      <c r="F325" t="s">
        <v>15</v>
      </c>
      <c r="G325" t="s">
        <v>10</v>
      </c>
      <c r="H325">
        <v>57</v>
      </c>
      <c r="I325" s="2">
        <f>VLOOKUP(B325,users!$A$1:$B$366,2,0)</f>
        <v>45725</v>
      </c>
      <c r="J325" s="3" t="str">
        <f>IFERROR(VLOOKUP(C325, merchants!$A$1:$D$41, 3, FALSE), "Data Missing")</f>
        <v>recharge</v>
      </c>
      <c r="K325" s="3" t="str">
        <f>IFERROR(VLOOKUP(C325, merchants!$A$1:$D$41, 4, FALSE), "Data Missing")</f>
        <v>South</v>
      </c>
      <c r="L325" s="7">
        <f>HLOOKUP(F325,payment_method!$A$1:$E$2,2,0)</f>
        <v>1.4999999999999999E-2</v>
      </c>
      <c r="M325" s="3" t="str">
        <f>IF(AND(E325&gt;5000, L325&lt;&gt;"East"), "High-Value Merchant Day", "Normal Day")</f>
        <v>Normal Day</v>
      </c>
    </row>
    <row r="326" spans="1:13" x14ac:dyDescent="0.3">
      <c r="A326" t="s">
        <v>339</v>
      </c>
      <c r="B326">
        <v>177</v>
      </c>
      <c r="C326">
        <v>9</v>
      </c>
      <c r="D326" s="1">
        <v>46037.897916666669</v>
      </c>
      <c r="E326">
        <v>99</v>
      </c>
      <c r="F326" t="s">
        <v>12</v>
      </c>
      <c r="G326" t="s">
        <v>10</v>
      </c>
      <c r="H326">
        <v>99</v>
      </c>
      <c r="I326" s="2">
        <f>VLOOKUP(B326,users!$A$1:$B$366,2,0)</f>
        <v>45581</v>
      </c>
      <c r="J326" s="3" t="str">
        <f>IFERROR(VLOOKUP(C326, merchants!$A$1:$D$41, 3, FALSE), "Data Missing")</f>
        <v>ecommerce</v>
      </c>
      <c r="K326" s="3" t="str">
        <f>IFERROR(VLOOKUP(C326, merchants!$A$1:$D$41, 4, FALSE), "Data Missing")</f>
        <v>North</v>
      </c>
      <c r="L326" s="7">
        <f>HLOOKUP(F326,payment_method!$A$1:$E$2,2,0)</f>
        <v>0</v>
      </c>
      <c r="M326" s="3" t="str">
        <f>IF(AND(E326&gt;5000, L326&lt;&gt;"East"), "High-Value Merchant Day", "Normal Day")</f>
        <v>Normal Day</v>
      </c>
    </row>
    <row r="327" spans="1:13" x14ac:dyDescent="0.3">
      <c r="A327" t="s">
        <v>340</v>
      </c>
      <c r="B327">
        <v>94</v>
      </c>
      <c r="C327">
        <v>9</v>
      </c>
      <c r="D327" s="1">
        <v>46040.859027777777</v>
      </c>
      <c r="E327">
        <v>299</v>
      </c>
      <c r="F327" t="s">
        <v>12</v>
      </c>
      <c r="G327" t="s">
        <v>10</v>
      </c>
      <c r="H327">
        <v>55</v>
      </c>
      <c r="I327" s="2">
        <f>VLOOKUP(B327,users!$A$1:$B$366,2,0)</f>
        <v>45974</v>
      </c>
      <c r="J327" s="3" t="str">
        <f>IFERROR(VLOOKUP(C327, merchants!$A$1:$D$41, 3, FALSE), "Data Missing")</f>
        <v>ecommerce</v>
      </c>
      <c r="K327" s="3" t="str">
        <f>IFERROR(VLOOKUP(C327, merchants!$A$1:$D$41, 4, FALSE), "Data Missing")</f>
        <v>North</v>
      </c>
      <c r="L327" s="7">
        <f>HLOOKUP(F327,payment_method!$A$1:$E$2,2,0)</f>
        <v>0</v>
      </c>
      <c r="M327" s="3" t="str">
        <f>IF(AND(E327&gt;5000, L327&lt;&gt;"East"), "High-Value Merchant Day", "Normal Day")</f>
        <v>Normal Day</v>
      </c>
    </row>
    <row r="328" spans="1:13" x14ac:dyDescent="0.3">
      <c r="A328" t="s">
        <v>341</v>
      </c>
      <c r="B328">
        <v>64</v>
      </c>
      <c r="C328">
        <v>34</v>
      </c>
      <c r="D328" s="1">
        <v>46039.078472222223</v>
      </c>
      <c r="E328">
        <v>299</v>
      </c>
      <c r="F328" t="s">
        <v>12</v>
      </c>
      <c r="G328" t="s">
        <v>10</v>
      </c>
      <c r="H328">
        <v>19</v>
      </c>
      <c r="I328" s="2">
        <f>VLOOKUP(B328,users!$A$1:$B$366,2,0)</f>
        <v>45444</v>
      </c>
      <c r="J328" s="3" t="str">
        <f>IFERROR(VLOOKUP(C328, merchants!$A$1:$D$41, 3, FALSE), "Data Missing")</f>
        <v>travel</v>
      </c>
      <c r="K328" s="3" t="str">
        <f>IFERROR(VLOOKUP(C328, merchants!$A$1:$D$41, 4, FALSE), "Data Missing")</f>
        <v>South</v>
      </c>
      <c r="L328" s="7">
        <f>HLOOKUP(F328,payment_method!$A$1:$E$2,2,0)</f>
        <v>0</v>
      </c>
      <c r="M328" s="3" t="str">
        <f>IF(AND(E328&gt;5000, L328&lt;&gt;"East"), "High-Value Merchant Day", "Normal Day")</f>
        <v>Normal Day</v>
      </c>
    </row>
    <row r="329" spans="1:13" x14ac:dyDescent="0.3">
      <c r="A329" t="s">
        <v>342</v>
      </c>
      <c r="B329">
        <v>166</v>
      </c>
      <c r="C329">
        <v>15</v>
      </c>
      <c r="D329" s="1">
        <v>46032.215277777781</v>
      </c>
      <c r="E329">
        <v>49</v>
      </c>
      <c r="F329" t="s">
        <v>12</v>
      </c>
      <c r="G329" t="s">
        <v>10</v>
      </c>
      <c r="H329">
        <v>44</v>
      </c>
      <c r="I329" s="2">
        <f>VLOOKUP(B329,users!$A$1:$B$366,2,0)</f>
        <v>45552</v>
      </c>
      <c r="J329" s="3" t="str">
        <f>IFERROR(VLOOKUP(C329, merchants!$A$1:$D$41, 3, FALSE), "Data Missing")</f>
        <v>travel</v>
      </c>
      <c r="K329" s="3" t="str">
        <f>IFERROR(VLOOKUP(C329, merchants!$A$1:$D$41, 4, FALSE), "Data Missing")</f>
        <v>North</v>
      </c>
      <c r="L329" s="7">
        <f>HLOOKUP(F329,payment_method!$A$1:$E$2,2,0)</f>
        <v>0</v>
      </c>
      <c r="M329" s="3" t="str">
        <f>IF(AND(E329&gt;5000, L329&lt;&gt;"East"), "High-Value Merchant Day", "Normal Day")</f>
        <v>Normal Day</v>
      </c>
    </row>
    <row r="330" spans="1:13" x14ac:dyDescent="0.3">
      <c r="A330" t="s">
        <v>343</v>
      </c>
      <c r="B330">
        <v>41</v>
      </c>
      <c r="C330">
        <v>17</v>
      </c>
      <c r="D330" s="1">
        <v>46039.412499999999</v>
      </c>
      <c r="E330">
        <v>299</v>
      </c>
      <c r="F330" t="s">
        <v>9</v>
      </c>
      <c r="G330" t="s">
        <v>10</v>
      </c>
      <c r="H330">
        <v>25</v>
      </c>
      <c r="I330" s="2">
        <f>VLOOKUP(B330,users!$A$1:$B$366,2,0)</f>
        <v>45472</v>
      </c>
      <c r="J330" s="3" t="str">
        <f>IFERROR(VLOOKUP(C330, merchants!$A$1:$D$41, 3, FALSE), "Data Missing")</f>
        <v>grocery</v>
      </c>
      <c r="K330" s="3" t="str">
        <f>IFERROR(VLOOKUP(C330, merchants!$A$1:$D$41, 4, FALSE), "Data Missing")</f>
        <v>North</v>
      </c>
      <c r="L330" s="7">
        <f>HLOOKUP(F330,payment_method!$A$1:$E$2,2,0)</f>
        <v>1.2E-2</v>
      </c>
      <c r="M330" s="3" t="str">
        <f>IF(AND(E330&gt;5000, L330&lt;&gt;"East"), "High-Value Merchant Day", "Normal Day")</f>
        <v>Normal Day</v>
      </c>
    </row>
    <row r="331" spans="1:13" x14ac:dyDescent="0.3">
      <c r="A331" t="s">
        <v>344</v>
      </c>
      <c r="B331">
        <v>65</v>
      </c>
      <c r="C331">
        <v>20</v>
      </c>
      <c r="D331" s="1">
        <v>46043.720138888886</v>
      </c>
      <c r="E331">
        <v>99</v>
      </c>
      <c r="F331" t="s">
        <v>24</v>
      </c>
      <c r="G331" t="s">
        <v>10</v>
      </c>
      <c r="H331">
        <v>78</v>
      </c>
      <c r="I331" s="2">
        <f>VLOOKUP(B331,users!$A$1:$B$366,2,0)</f>
        <v>45720</v>
      </c>
      <c r="J331" s="3" t="str">
        <f>IFERROR(VLOOKUP(C331, merchants!$A$1:$D$41, 3, FALSE), "Data Missing")</f>
        <v>food_delivery</v>
      </c>
      <c r="K331" s="3" t="str">
        <f>IFERROR(VLOOKUP(C331, merchants!$A$1:$D$41, 4, FALSE), "Data Missing")</f>
        <v>East</v>
      </c>
      <c r="L331" s="7">
        <f>HLOOKUP(F331,payment_method!$A$1:$E$2,2,0)</f>
        <v>0.02</v>
      </c>
      <c r="M331" s="3" t="str">
        <f>IF(AND(E331&gt;5000, L331&lt;&gt;"East"), "High-Value Merchant Day", "Normal Day")</f>
        <v>Normal Day</v>
      </c>
    </row>
    <row r="332" spans="1:13" x14ac:dyDescent="0.3">
      <c r="A332" t="s">
        <v>345</v>
      </c>
      <c r="B332">
        <v>329</v>
      </c>
      <c r="C332">
        <v>11</v>
      </c>
      <c r="D332" s="1">
        <v>46040.105555555558</v>
      </c>
      <c r="E332">
        <v>499</v>
      </c>
      <c r="F332" t="s">
        <v>12</v>
      </c>
      <c r="G332" t="s">
        <v>10</v>
      </c>
      <c r="H332">
        <v>75</v>
      </c>
      <c r="I332" s="2">
        <f>VLOOKUP(B332,users!$A$1:$B$366,2,0)</f>
        <v>45725</v>
      </c>
      <c r="J332" s="3" t="str">
        <f>IFERROR(VLOOKUP(C332, merchants!$A$1:$D$41, 3, FALSE), "Data Missing")</f>
        <v>ecommerce</v>
      </c>
      <c r="K332" s="3" t="str">
        <f>IFERROR(VLOOKUP(C332, merchants!$A$1:$D$41, 4, FALSE), "Data Missing")</f>
        <v>North</v>
      </c>
      <c r="L332" s="7">
        <f>HLOOKUP(F332,payment_method!$A$1:$E$2,2,0)</f>
        <v>0</v>
      </c>
      <c r="M332" s="3" t="str">
        <f>IF(AND(E332&gt;5000, L332&lt;&gt;"East"), "High-Value Merchant Day", "Normal Day")</f>
        <v>Normal Day</v>
      </c>
    </row>
    <row r="333" spans="1:13" x14ac:dyDescent="0.3">
      <c r="A333" t="s">
        <v>346</v>
      </c>
      <c r="B333">
        <v>338</v>
      </c>
      <c r="C333">
        <v>40</v>
      </c>
      <c r="D333" s="1">
        <v>46041.173611111109</v>
      </c>
      <c r="E333">
        <v>149</v>
      </c>
      <c r="F333" t="s">
        <v>12</v>
      </c>
      <c r="G333" t="s">
        <v>10</v>
      </c>
      <c r="H333">
        <v>92</v>
      </c>
      <c r="I333" s="2">
        <f>VLOOKUP(B333,users!$A$1:$B$366,2,0)</f>
        <v>45841</v>
      </c>
      <c r="J333" s="3" t="str">
        <f>IFERROR(VLOOKUP(C333, merchants!$A$1:$D$41, 3, FALSE), "Data Missing")</f>
        <v>entertainment</v>
      </c>
      <c r="K333" s="3" t="str">
        <f>IFERROR(VLOOKUP(C333, merchants!$A$1:$D$41, 4, FALSE), "Data Missing")</f>
        <v>South</v>
      </c>
      <c r="L333" s="7">
        <f>HLOOKUP(F333,payment_method!$A$1:$E$2,2,0)</f>
        <v>0</v>
      </c>
      <c r="M333" s="3" t="str">
        <f>IF(AND(E333&gt;5000, L333&lt;&gt;"East"), "High-Value Merchant Day", "Normal Day")</f>
        <v>Normal Day</v>
      </c>
    </row>
    <row r="334" spans="1:13" x14ac:dyDescent="0.3">
      <c r="A334" t="s">
        <v>347</v>
      </c>
      <c r="B334">
        <v>289</v>
      </c>
      <c r="C334">
        <v>3</v>
      </c>
      <c r="D334" s="1">
        <v>46051.806250000001</v>
      </c>
      <c r="E334">
        <v>49</v>
      </c>
      <c r="F334" t="s">
        <v>15</v>
      </c>
      <c r="G334" t="s">
        <v>10</v>
      </c>
      <c r="H334">
        <v>3</v>
      </c>
      <c r="I334" s="2">
        <f>VLOOKUP(B334,users!$A$1:$B$366,2,0)</f>
        <v>45832</v>
      </c>
      <c r="J334" s="3" t="str">
        <f>IFERROR(VLOOKUP(C334, merchants!$A$1:$D$41, 3, FALSE), "Data Missing")</f>
        <v>grocery</v>
      </c>
      <c r="K334" s="3" t="str">
        <f>IFERROR(VLOOKUP(C334, merchants!$A$1:$D$41, 4, FALSE), "Data Missing")</f>
        <v>East</v>
      </c>
      <c r="L334" s="7">
        <f>HLOOKUP(F334,payment_method!$A$1:$E$2,2,0)</f>
        <v>1.4999999999999999E-2</v>
      </c>
      <c r="M334" s="3" t="str">
        <f>IF(AND(E334&gt;5000, L334&lt;&gt;"East"), "High-Value Merchant Day", "Normal Day")</f>
        <v>Normal Day</v>
      </c>
    </row>
    <row r="335" spans="1:13" x14ac:dyDescent="0.3">
      <c r="A335" t="s">
        <v>348</v>
      </c>
      <c r="B335">
        <v>296</v>
      </c>
      <c r="C335">
        <v>17</v>
      </c>
      <c r="D335" s="1">
        <v>46025.070138888892</v>
      </c>
      <c r="E335">
        <v>99</v>
      </c>
      <c r="F335" t="s">
        <v>12</v>
      </c>
      <c r="G335" t="s">
        <v>10</v>
      </c>
      <c r="H335">
        <v>83</v>
      </c>
      <c r="I335" s="2">
        <f>VLOOKUP(B335,users!$A$1:$B$366,2,0)</f>
        <v>45985</v>
      </c>
      <c r="J335" s="3" t="str">
        <f>IFERROR(VLOOKUP(C335, merchants!$A$1:$D$41, 3, FALSE), "Data Missing")</f>
        <v>grocery</v>
      </c>
      <c r="K335" s="3" t="str">
        <f>IFERROR(VLOOKUP(C335, merchants!$A$1:$D$41, 4, FALSE), "Data Missing")</f>
        <v>North</v>
      </c>
      <c r="L335" s="7">
        <f>HLOOKUP(F335,payment_method!$A$1:$E$2,2,0)</f>
        <v>0</v>
      </c>
      <c r="M335" s="3" t="str">
        <f>IF(AND(E335&gt;5000, L335&lt;&gt;"East"), "High-Value Merchant Day", "Normal Day")</f>
        <v>Normal Day</v>
      </c>
    </row>
    <row r="336" spans="1:13" x14ac:dyDescent="0.3">
      <c r="A336" t="s">
        <v>349</v>
      </c>
      <c r="B336">
        <v>317</v>
      </c>
      <c r="C336">
        <v>2</v>
      </c>
      <c r="D336" s="1">
        <v>46029.768055555556</v>
      </c>
      <c r="E336">
        <v>499</v>
      </c>
      <c r="F336" t="s">
        <v>24</v>
      </c>
      <c r="G336" t="s">
        <v>10</v>
      </c>
      <c r="H336">
        <v>63</v>
      </c>
      <c r="I336" s="2">
        <f>VLOOKUP(B336,users!$A$1:$B$366,2,0)</f>
        <v>45493</v>
      </c>
      <c r="J336" s="3" t="str">
        <f>IFERROR(VLOOKUP(C336, merchants!$A$1:$D$41, 3, FALSE), "Data Missing")</f>
        <v>grocery</v>
      </c>
      <c r="K336" s="3" t="str">
        <f>IFERROR(VLOOKUP(C336, merchants!$A$1:$D$41, 4, FALSE), "Data Missing")</f>
        <v>West</v>
      </c>
      <c r="L336" s="7">
        <f>HLOOKUP(F336,payment_method!$A$1:$E$2,2,0)</f>
        <v>0.02</v>
      </c>
      <c r="M336" s="3" t="str">
        <f>IF(AND(E336&gt;5000, L336&lt;&gt;"East"), "High-Value Merchant Day", "Normal Day")</f>
        <v>Normal Day</v>
      </c>
    </row>
    <row r="337" spans="1:13" x14ac:dyDescent="0.3">
      <c r="A337" t="s">
        <v>350</v>
      </c>
      <c r="B337">
        <v>149</v>
      </c>
      <c r="C337">
        <v>20</v>
      </c>
      <c r="D337" s="1">
        <v>46051.856944444444</v>
      </c>
      <c r="E337">
        <v>499</v>
      </c>
      <c r="F337" t="s">
        <v>24</v>
      </c>
      <c r="G337" t="s">
        <v>10</v>
      </c>
      <c r="H337">
        <v>61</v>
      </c>
      <c r="I337" s="2">
        <f>VLOOKUP(B337,users!$A$1:$B$366,2,0)</f>
        <v>45750</v>
      </c>
      <c r="J337" s="3" t="str">
        <f>IFERROR(VLOOKUP(C337, merchants!$A$1:$D$41, 3, FALSE), "Data Missing")</f>
        <v>food_delivery</v>
      </c>
      <c r="K337" s="3" t="str">
        <f>IFERROR(VLOOKUP(C337, merchants!$A$1:$D$41, 4, FALSE), "Data Missing")</f>
        <v>East</v>
      </c>
      <c r="L337" s="7">
        <f>HLOOKUP(F337,payment_method!$A$1:$E$2,2,0)</f>
        <v>0.02</v>
      </c>
      <c r="M337" s="3" t="str">
        <f>IF(AND(E337&gt;5000, L337&lt;&gt;"East"), "High-Value Merchant Day", "Normal Day")</f>
        <v>Normal Day</v>
      </c>
    </row>
    <row r="338" spans="1:13" x14ac:dyDescent="0.3">
      <c r="A338" t="s">
        <v>351</v>
      </c>
      <c r="B338">
        <v>153</v>
      </c>
      <c r="C338">
        <v>30</v>
      </c>
      <c r="D338" s="1">
        <v>46030.892361111109</v>
      </c>
      <c r="E338">
        <v>299</v>
      </c>
      <c r="F338" t="s">
        <v>12</v>
      </c>
      <c r="G338" t="s">
        <v>10</v>
      </c>
      <c r="H338">
        <v>9</v>
      </c>
      <c r="I338" s="2">
        <f>VLOOKUP(B338,users!$A$1:$B$366,2,0)</f>
        <v>45774</v>
      </c>
      <c r="J338" s="3" t="str">
        <f>IFERROR(VLOOKUP(C338, merchants!$A$1:$D$41, 3, FALSE), "Data Missing")</f>
        <v>travel</v>
      </c>
      <c r="K338" s="3" t="str">
        <f>IFERROR(VLOOKUP(C338, merchants!$A$1:$D$41, 4, FALSE), "Data Missing")</f>
        <v>West</v>
      </c>
      <c r="L338" s="7">
        <f>HLOOKUP(F338,payment_method!$A$1:$E$2,2,0)</f>
        <v>0</v>
      </c>
      <c r="M338" s="3" t="str">
        <f>IF(AND(E338&gt;5000, L338&lt;&gt;"East"), "High-Value Merchant Day", "Normal Day")</f>
        <v>Normal Day</v>
      </c>
    </row>
    <row r="339" spans="1:13" x14ac:dyDescent="0.3">
      <c r="A339" t="s">
        <v>352</v>
      </c>
      <c r="B339">
        <v>226</v>
      </c>
      <c r="C339">
        <v>27</v>
      </c>
      <c r="D339" s="1">
        <v>46045.048611111109</v>
      </c>
      <c r="E339">
        <v>2999</v>
      </c>
      <c r="F339" t="s">
        <v>12</v>
      </c>
      <c r="G339" t="s">
        <v>38</v>
      </c>
      <c r="H339">
        <v>61</v>
      </c>
      <c r="I339" s="2">
        <f>VLOOKUP(B339,users!$A$1:$B$366,2,0)</f>
        <v>45931</v>
      </c>
      <c r="J339" s="3" t="str">
        <f>IFERROR(VLOOKUP(C339, merchants!$A$1:$D$41, 3, FALSE), "Data Missing")</f>
        <v>ecommerce</v>
      </c>
      <c r="K339" s="3" t="str">
        <f>IFERROR(VLOOKUP(C339, merchants!$A$1:$D$41, 4, FALSE), "Data Missing")</f>
        <v>North</v>
      </c>
      <c r="L339" s="7">
        <f>HLOOKUP(F339,payment_method!$A$1:$E$2,2,0)</f>
        <v>0</v>
      </c>
      <c r="M339" s="3" t="str">
        <f>IF(AND(E339&gt;5000, L339&lt;&gt;"East"), "High-Value Merchant Day", "Normal Day")</f>
        <v>Normal Day</v>
      </c>
    </row>
    <row r="340" spans="1:13" x14ac:dyDescent="0.3">
      <c r="A340" t="s">
        <v>353</v>
      </c>
      <c r="B340">
        <v>311</v>
      </c>
      <c r="C340">
        <v>10</v>
      </c>
      <c r="D340" s="1">
        <v>46037.26458333333</v>
      </c>
      <c r="E340">
        <v>2999</v>
      </c>
      <c r="F340" t="s">
        <v>12</v>
      </c>
      <c r="G340" t="s">
        <v>10</v>
      </c>
      <c r="H340">
        <v>40</v>
      </c>
      <c r="I340" s="2">
        <f>VLOOKUP(B340,users!$A$1:$B$366,2,0)</f>
        <v>45778</v>
      </c>
      <c r="J340" s="3" t="str">
        <f>IFERROR(VLOOKUP(C340, merchants!$A$1:$D$41, 3, FALSE), "Data Missing")</f>
        <v>grocery</v>
      </c>
      <c r="K340" s="3" t="str">
        <f>IFERROR(VLOOKUP(C340, merchants!$A$1:$D$41, 4, FALSE), "Data Missing")</f>
        <v>West</v>
      </c>
      <c r="L340" s="7">
        <f>HLOOKUP(F340,payment_method!$A$1:$E$2,2,0)</f>
        <v>0</v>
      </c>
      <c r="M340" s="3" t="str">
        <f>IF(AND(E340&gt;5000, L340&lt;&gt;"East"), "High-Value Merchant Day", "Normal Day")</f>
        <v>Normal Day</v>
      </c>
    </row>
    <row r="341" spans="1:13" x14ac:dyDescent="0.3">
      <c r="A341" t="s">
        <v>354</v>
      </c>
      <c r="B341">
        <v>177</v>
      </c>
      <c r="C341">
        <v>26</v>
      </c>
      <c r="D341" s="1">
        <v>46050.930555555555</v>
      </c>
      <c r="E341">
        <v>1499</v>
      </c>
      <c r="F341" t="s">
        <v>12</v>
      </c>
      <c r="G341" t="s">
        <v>10</v>
      </c>
      <c r="H341">
        <v>16</v>
      </c>
      <c r="I341" s="2">
        <f>VLOOKUP(B341,users!$A$1:$B$366,2,0)</f>
        <v>45581</v>
      </c>
      <c r="J341" s="3" t="str">
        <f>IFERROR(VLOOKUP(C341, merchants!$A$1:$D$41, 3, FALSE), "Data Missing")</f>
        <v>food_delivery</v>
      </c>
      <c r="K341" s="3" t="str">
        <f>IFERROR(VLOOKUP(C341, merchants!$A$1:$D$41, 4, FALSE), "Data Missing")</f>
        <v>East</v>
      </c>
      <c r="L341" s="7">
        <f>HLOOKUP(F341,payment_method!$A$1:$E$2,2,0)</f>
        <v>0</v>
      </c>
      <c r="M341" s="3" t="str">
        <f>IF(AND(E341&gt;5000, L341&lt;&gt;"East"), "High-Value Merchant Day", "Normal Day")</f>
        <v>Normal Day</v>
      </c>
    </row>
    <row r="342" spans="1:13" x14ac:dyDescent="0.3">
      <c r="A342" t="s">
        <v>355</v>
      </c>
      <c r="B342">
        <v>288</v>
      </c>
      <c r="C342">
        <v>7</v>
      </c>
      <c r="D342" s="1">
        <v>46047.480555555558</v>
      </c>
      <c r="E342">
        <v>99</v>
      </c>
      <c r="F342" t="s">
        <v>15</v>
      </c>
      <c r="G342" t="s">
        <v>10</v>
      </c>
      <c r="H342">
        <v>40</v>
      </c>
      <c r="I342" s="2">
        <f>VLOOKUP(B342,users!$A$1:$B$366,2,0)</f>
        <v>45702</v>
      </c>
      <c r="J342" s="3" t="str">
        <f>IFERROR(VLOOKUP(C342, merchants!$A$1:$D$41, 3, FALSE), "Data Missing")</f>
        <v>food_delivery</v>
      </c>
      <c r="K342" s="3" t="str">
        <f>IFERROR(VLOOKUP(C342, merchants!$A$1:$D$41, 4, FALSE), "Data Missing")</f>
        <v>East</v>
      </c>
      <c r="L342" s="7">
        <f>HLOOKUP(F342,payment_method!$A$1:$E$2,2,0)</f>
        <v>1.4999999999999999E-2</v>
      </c>
      <c r="M342" s="3" t="str">
        <f>IF(AND(E342&gt;5000, L342&lt;&gt;"East"), "High-Value Merchant Day", "Normal Day")</f>
        <v>Normal Day</v>
      </c>
    </row>
    <row r="343" spans="1:13" x14ac:dyDescent="0.3">
      <c r="A343" t="s">
        <v>356</v>
      </c>
      <c r="B343">
        <v>137</v>
      </c>
      <c r="C343">
        <v>29</v>
      </c>
      <c r="D343" s="1">
        <v>46030.588194444441</v>
      </c>
      <c r="E343">
        <v>2999</v>
      </c>
      <c r="F343" t="s">
        <v>12</v>
      </c>
      <c r="G343" t="s">
        <v>25</v>
      </c>
      <c r="H343">
        <v>31</v>
      </c>
      <c r="I343" s="2">
        <f>VLOOKUP(B343,users!$A$1:$B$366,2,0)</f>
        <v>45391</v>
      </c>
      <c r="J343" s="3" t="str">
        <f>IFERROR(VLOOKUP(C343, merchants!$A$1:$D$41, 3, FALSE), "Data Missing")</f>
        <v>ecommerce</v>
      </c>
      <c r="K343" s="3" t="str">
        <f>IFERROR(VLOOKUP(C343, merchants!$A$1:$D$41, 4, FALSE), "Data Missing")</f>
        <v>North</v>
      </c>
      <c r="L343" s="7">
        <f>HLOOKUP(F343,payment_method!$A$1:$E$2,2,0)</f>
        <v>0</v>
      </c>
      <c r="M343" s="3" t="str">
        <f>IF(AND(E343&gt;5000, L343&lt;&gt;"East"), "High-Value Merchant Day", "Normal Day")</f>
        <v>Normal Day</v>
      </c>
    </row>
    <row r="344" spans="1:13" x14ac:dyDescent="0.3">
      <c r="A344" t="s">
        <v>357</v>
      </c>
      <c r="B344">
        <v>149</v>
      </c>
      <c r="C344">
        <v>25</v>
      </c>
      <c r="D344" s="1">
        <v>46027.127083333333</v>
      </c>
      <c r="E344">
        <v>1499</v>
      </c>
      <c r="F344" t="s">
        <v>12</v>
      </c>
      <c r="G344" t="s">
        <v>10</v>
      </c>
      <c r="H344">
        <v>78</v>
      </c>
      <c r="I344" s="2">
        <f>VLOOKUP(B344,users!$A$1:$B$366,2,0)</f>
        <v>45750</v>
      </c>
      <c r="J344" s="3" t="str">
        <f>IFERROR(VLOOKUP(C344, merchants!$A$1:$D$41, 3, FALSE), "Data Missing")</f>
        <v>travel</v>
      </c>
      <c r="K344" s="3" t="str">
        <f>IFERROR(VLOOKUP(C344, merchants!$A$1:$D$41, 4, FALSE), "Data Missing")</f>
        <v>South</v>
      </c>
      <c r="L344" s="7">
        <f>HLOOKUP(F344,payment_method!$A$1:$E$2,2,0)</f>
        <v>0</v>
      </c>
      <c r="M344" s="3" t="str">
        <f>IF(AND(E344&gt;5000, L344&lt;&gt;"East"), "High-Value Merchant Day", "Normal Day")</f>
        <v>Normal Day</v>
      </c>
    </row>
    <row r="345" spans="1:13" x14ac:dyDescent="0.3">
      <c r="A345" t="s">
        <v>358</v>
      </c>
      <c r="B345">
        <v>82</v>
      </c>
      <c r="C345">
        <v>21</v>
      </c>
      <c r="D345" s="1">
        <v>46036.329861111109</v>
      </c>
      <c r="E345">
        <v>49</v>
      </c>
      <c r="F345" t="s">
        <v>9</v>
      </c>
      <c r="G345" t="s">
        <v>10</v>
      </c>
      <c r="H345">
        <v>73</v>
      </c>
      <c r="I345" s="2">
        <f>VLOOKUP(B345,users!$A$1:$B$366,2,0)</f>
        <v>45474</v>
      </c>
      <c r="J345" s="3" t="str">
        <f>IFERROR(VLOOKUP(C345, merchants!$A$1:$D$41, 3, FALSE), "Data Missing")</f>
        <v>food_delivery</v>
      </c>
      <c r="K345" s="3" t="str">
        <f>IFERROR(VLOOKUP(C345, merchants!$A$1:$D$41, 4, FALSE), "Data Missing")</f>
        <v>East</v>
      </c>
      <c r="L345" s="7">
        <f>HLOOKUP(F345,payment_method!$A$1:$E$2,2,0)</f>
        <v>1.2E-2</v>
      </c>
      <c r="M345" s="3" t="str">
        <f>IF(AND(E345&gt;5000, L345&lt;&gt;"East"), "High-Value Merchant Day", "Normal Day")</f>
        <v>Normal Day</v>
      </c>
    </row>
    <row r="346" spans="1:13" x14ac:dyDescent="0.3">
      <c r="A346" t="s">
        <v>359</v>
      </c>
      <c r="B346">
        <v>82</v>
      </c>
      <c r="C346">
        <v>32</v>
      </c>
      <c r="D346" s="1">
        <v>46046.425000000003</v>
      </c>
      <c r="E346">
        <v>49</v>
      </c>
      <c r="F346" t="s">
        <v>12</v>
      </c>
      <c r="G346" t="s">
        <v>10</v>
      </c>
      <c r="H346">
        <v>65</v>
      </c>
      <c r="I346" s="2">
        <f>VLOOKUP(B346,users!$A$1:$B$366,2,0)</f>
        <v>45474</v>
      </c>
      <c r="J346" s="3" t="str">
        <f>IFERROR(VLOOKUP(C346, merchants!$A$1:$D$41, 3, FALSE), "Data Missing")</f>
        <v>food_delivery</v>
      </c>
      <c r="K346" s="3" t="str">
        <f>IFERROR(VLOOKUP(C346, merchants!$A$1:$D$41, 4, FALSE), "Data Missing")</f>
        <v>West</v>
      </c>
      <c r="L346" s="7">
        <f>HLOOKUP(F346,payment_method!$A$1:$E$2,2,0)</f>
        <v>0</v>
      </c>
      <c r="M346" s="3" t="str">
        <f>IF(AND(E346&gt;5000, L346&lt;&gt;"East"), "High-Value Merchant Day", "Normal Day")</f>
        <v>Normal Day</v>
      </c>
    </row>
    <row r="347" spans="1:13" x14ac:dyDescent="0.3">
      <c r="A347" t="s">
        <v>360</v>
      </c>
      <c r="B347">
        <v>158</v>
      </c>
      <c r="C347">
        <v>32</v>
      </c>
      <c r="D347" s="1">
        <v>46037.663888888892</v>
      </c>
      <c r="E347">
        <v>99</v>
      </c>
      <c r="F347" t="s">
        <v>9</v>
      </c>
      <c r="G347" t="s">
        <v>10</v>
      </c>
      <c r="H347">
        <v>2</v>
      </c>
      <c r="I347" s="2">
        <f>VLOOKUP(B347,users!$A$1:$B$366,2,0)</f>
        <v>45509</v>
      </c>
      <c r="J347" s="3" t="str">
        <f>IFERROR(VLOOKUP(C347, merchants!$A$1:$D$41, 3, FALSE), "Data Missing")</f>
        <v>food_delivery</v>
      </c>
      <c r="K347" s="3" t="str">
        <f>IFERROR(VLOOKUP(C347, merchants!$A$1:$D$41, 4, FALSE), "Data Missing")</f>
        <v>West</v>
      </c>
      <c r="L347" s="7">
        <f>HLOOKUP(F347,payment_method!$A$1:$E$2,2,0)</f>
        <v>1.2E-2</v>
      </c>
      <c r="M347" s="3" t="str">
        <f>IF(AND(E347&gt;5000, L347&lt;&gt;"East"), "High-Value Merchant Day", "Normal Day")</f>
        <v>Normal Day</v>
      </c>
    </row>
    <row r="348" spans="1:13" x14ac:dyDescent="0.3">
      <c r="A348" t="s">
        <v>361</v>
      </c>
      <c r="B348">
        <v>235</v>
      </c>
      <c r="C348">
        <v>16</v>
      </c>
      <c r="D348" s="1">
        <v>46025.522222222222</v>
      </c>
      <c r="E348">
        <v>99</v>
      </c>
      <c r="F348" t="s">
        <v>12</v>
      </c>
      <c r="G348" t="s">
        <v>10</v>
      </c>
      <c r="H348">
        <v>27</v>
      </c>
      <c r="I348" s="2">
        <f>VLOOKUP(B348,users!$A$1:$B$366,2,0)</f>
        <v>45935</v>
      </c>
      <c r="J348" s="3" t="str">
        <f>IFERROR(VLOOKUP(C348, merchants!$A$1:$D$41, 3, FALSE), "Data Missing")</f>
        <v>bill_payment</v>
      </c>
      <c r="K348" s="3" t="str">
        <f>IFERROR(VLOOKUP(C348, merchants!$A$1:$D$41, 4, FALSE), "Data Missing")</f>
        <v>West</v>
      </c>
      <c r="L348" s="7">
        <f>HLOOKUP(F348,payment_method!$A$1:$E$2,2,0)</f>
        <v>0</v>
      </c>
      <c r="M348" s="3" t="str">
        <f>IF(AND(E348&gt;5000, L348&lt;&gt;"East"), "High-Value Merchant Day", "Normal Day")</f>
        <v>Normal Day</v>
      </c>
    </row>
    <row r="349" spans="1:13" x14ac:dyDescent="0.3">
      <c r="A349" t="s">
        <v>362</v>
      </c>
      <c r="B349">
        <v>26</v>
      </c>
      <c r="C349">
        <v>19</v>
      </c>
      <c r="D349" s="1">
        <v>46041.460416666669</v>
      </c>
      <c r="E349">
        <v>99</v>
      </c>
      <c r="F349" t="s">
        <v>9</v>
      </c>
      <c r="G349" t="s">
        <v>10</v>
      </c>
      <c r="H349">
        <v>63</v>
      </c>
      <c r="I349" s="2">
        <f>VLOOKUP(B349,users!$A$1:$B$366,2,0)</f>
        <v>45524</v>
      </c>
      <c r="J349" s="3" t="str">
        <f>IFERROR(VLOOKUP(C349, merchants!$A$1:$D$41, 3, FALSE), "Data Missing")</f>
        <v>grocery</v>
      </c>
      <c r="K349" s="3" t="str">
        <f>IFERROR(VLOOKUP(C349, merchants!$A$1:$D$41, 4, FALSE), "Data Missing")</f>
        <v>North</v>
      </c>
      <c r="L349" s="7">
        <f>HLOOKUP(F349,payment_method!$A$1:$E$2,2,0)</f>
        <v>1.2E-2</v>
      </c>
      <c r="M349" s="3" t="str">
        <f>IF(AND(E349&gt;5000, L349&lt;&gt;"East"), "High-Value Merchant Day", "Normal Day")</f>
        <v>Normal Day</v>
      </c>
    </row>
    <row r="350" spans="1:13" x14ac:dyDescent="0.3">
      <c r="A350" t="s">
        <v>363</v>
      </c>
      <c r="B350">
        <v>241</v>
      </c>
      <c r="C350">
        <v>19</v>
      </c>
      <c r="D350" s="1">
        <v>46042.863194444442</v>
      </c>
      <c r="E350">
        <v>299</v>
      </c>
      <c r="F350" t="s">
        <v>12</v>
      </c>
      <c r="G350" t="s">
        <v>10</v>
      </c>
      <c r="H350">
        <v>68</v>
      </c>
      <c r="I350" s="2">
        <f>VLOOKUP(B350,users!$A$1:$B$366,2,0)</f>
        <v>45924</v>
      </c>
      <c r="J350" s="3" t="str">
        <f>IFERROR(VLOOKUP(C350, merchants!$A$1:$D$41, 3, FALSE), "Data Missing")</f>
        <v>grocery</v>
      </c>
      <c r="K350" s="3" t="str">
        <f>IFERROR(VLOOKUP(C350, merchants!$A$1:$D$41, 4, FALSE), "Data Missing")</f>
        <v>North</v>
      </c>
      <c r="L350" s="7">
        <f>HLOOKUP(F350,payment_method!$A$1:$E$2,2,0)</f>
        <v>0</v>
      </c>
      <c r="M350" s="3" t="str">
        <f>IF(AND(E350&gt;5000, L350&lt;&gt;"East"), "High-Value Merchant Day", "Normal Day")</f>
        <v>Normal Day</v>
      </c>
    </row>
    <row r="351" spans="1:13" x14ac:dyDescent="0.3">
      <c r="A351" t="s">
        <v>364</v>
      </c>
      <c r="B351">
        <v>69</v>
      </c>
      <c r="C351">
        <v>17</v>
      </c>
      <c r="D351" s="1">
        <v>46023.143750000003</v>
      </c>
      <c r="E351">
        <v>1499</v>
      </c>
      <c r="F351" t="s">
        <v>12</v>
      </c>
      <c r="G351" t="s">
        <v>10</v>
      </c>
      <c r="H351">
        <v>93</v>
      </c>
      <c r="I351" s="2">
        <f>VLOOKUP(B351,users!$A$1:$B$366,2,0)</f>
        <v>45693</v>
      </c>
      <c r="J351" s="3" t="str">
        <f>IFERROR(VLOOKUP(C351, merchants!$A$1:$D$41, 3, FALSE), "Data Missing")</f>
        <v>grocery</v>
      </c>
      <c r="K351" s="3" t="str">
        <f>IFERROR(VLOOKUP(C351, merchants!$A$1:$D$41, 4, FALSE), "Data Missing")</f>
        <v>North</v>
      </c>
      <c r="L351" s="7">
        <f>HLOOKUP(F351,payment_method!$A$1:$E$2,2,0)</f>
        <v>0</v>
      </c>
      <c r="M351" s="3" t="str">
        <f>IF(AND(E351&gt;5000, L351&lt;&gt;"East"), "High-Value Merchant Day", "Normal Day")</f>
        <v>Normal Day</v>
      </c>
    </row>
    <row r="352" spans="1:13" x14ac:dyDescent="0.3">
      <c r="A352" t="s">
        <v>365</v>
      </c>
      <c r="B352">
        <v>24</v>
      </c>
      <c r="C352">
        <v>26</v>
      </c>
      <c r="D352" s="1">
        <v>46034.515972222223</v>
      </c>
      <c r="E352">
        <v>299</v>
      </c>
      <c r="F352" t="s">
        <v>15</v>
      </c>
      <c r="G352" t="s">
        <v>10</v>
      </c>
      <c r="H352">
        <v>6</v>
      </c>
      <c r="I352" s="2">
        <f>VLOOKUP(B352,users!$A$1:$B$366,2,0)</f>
        <v>45588</v>
      </c>
      <c r="J352" s="3" t="str">
        <f>IFERROR(VLOOKUP(C352, merchants!$A$1:$D$41, 3, FALSE), "Data Missing")</f>
        <v>food_delivery</v>
      </c>
      <c r="K352" s="3" t="str">
        <f>IFERROR(VLOOKUP(C352, merchants!$A$1:$D$41, 4, FALSE), "Data Missing")</f>
        <v>East</v>
      </c>
      <c r="L352" s="7">
        <f>HLOOKUP(F352,payment_method!$A$1:$E$2,2,0)</f>
        <v>1.4999999999999999E-2</v>
      </c>
      <c r="M352" s="3" t="str">
        <f>IF(AND(E352&gt;5000, L352&lt;&gt;"East"), "High-Value Merchant Day", "Normal Day")</f>
        <v>Normal Day</v>
      </c>
    </row>
    <row r="353" spans="1:13" x14ac:dyDescent="0.3">
      <c r="A353" t="s">
        <v>366</v>
      </c>
      <c r="B353">
        <v>186</v>
      </c>
      <c r="C353">
        <v>36</v>
      </c>
      <c r="D353" s="1">
        <v>46041.716666666667</v>
      </c>
      <c r="E353">
        <v>4999</v>
      </c>
      <c r="F353" t="s">
        <v>12</v>
      </c>
      <c r="G353" t="s">
        <v>10</v>
      </c>
      <c r="H353">
        <v>36</v>
      </c>
      <c r="I353" s="2">
        <f>VLOOKUP(B353,users!$A$1:$B$366,2,0)</f>
        <v>45561</v>
      </c>
      <c r="J353" s="3" t="str">
        <f>IFERROR(VLOOKUP(C353, merchants!$A$1:$D$41, 3, FALSE), "Data Missing")</f>
        <v>entertainment</v>
      </c>
      <c r="K353" s="3" t="str">
        <f>IFERROR(VLOOKUP(C353, merchants!$A$1:$D$41, 4, FALSE), "Data Missing")</f>
        <v>East</v>
      </c>
      <c r="L353" s="7">
        <f>HLOOKUP(F353,payment_method!$A$1:$E$2,2,0)</f>
        <v>0</v>
      </c>
      <c r="M353" s="3" t="str">
        <f>IF(AND(E353&gt;5000, L353&lt;&gt;"East"), "High-Value Merchant Day", "Normal Day")</f>
        <v>Normal Day</v>
      </c>
    </row>
    <row r="354" spans="1:13" x14ac:dyDescent="0.3">
      <c r="A354" t="s">
        <v>367</v>
      </c>
      <c r="B354">
        <v>231</v>
      </c>
      <c r="C354">
        <v>36</v>
      </c>
      <c r="D354" s="1">
        <v>46025.522222222222</v>
      </c>
      <c r="E354">
        <v>149</v>
      </c>
      <c r="F354" t="s">
        <v>12</v>
      </c>
      <c r="G354" t="s">
        <v>10</v>
      </c>
      <c r="H354">
        <v>35</v>
      </c>
      <c r="I354" s="2">
        <f>VLOOKUP(B354,users!$A$1:$B$366,2,0)</f>
        <v>45505</v>
      </c>
      <c r="J354" s="3" t="str">
        <f>IFERROR(VLOOKUP(C354, merchants!$A$1:$D$41, 3, FALSE), "Data Missing")</f>
        <v>entertainment</v>
      </c>
      <c r="K354" s="3" t="str">
        <f>IFERROR(VLOOKUP(C354, merchants!$A$1:$D$41, 4, FALSE), "Data Missing")</f>
        <v>East</v>
      </c>
      <c r="L354" s="7">
        <f>HLOOKUP(F354,payment_method!$A$1:$E$2,2,0)</f>
        <v>0</v>
      </c>
      <c r="M354" s="3" t="str">
        <f>IF(AND(E354&gt;5000, L354&lt;&gt;"East"), "High-Value Merchant Day", "Normal Day")</f>
        <v>Normal Day</v>
      </c>
    </row>
    <row r="355" spans="1:13" x14ac:dyDescent="0.3">
      <c r="A355" t="s">
        <v>368</v>
      </c>
      <c r="B355">
        <v>313</v>
      </c>
      <c r="C355">
        <v>8</v>
      </c>
      <c r="D355" s="1">
        <v>46049.821527777778</v>
      </c>
      <c r="E355">
        <v>1499</v>
      </c>
      <c r="F355" t="s">
        <v>15</v>
      </c>
      <c r="G355" t="s">
        <v>10</v>
      </c>
      <c r="H355">
        <v>16</v>
      </c>
      <c r="I355" s="2">
        <f>VLOOKUP(B355,users!$A$1:$B$366,2,0)</f>
        <v>45785</v>
      </c>
      <c r="J355" s="3" t="str">
        <f>IFERROR(VLOOKUP(C355, merchants!$A$1:$D$41, 3, FALSE), "Data Missing")</f>
        <v>food_delivery</v>
      </c>
      <c r="K355" s="3" t="str">
        <f>IFERROR(VLOOKUP(C355, merchants!$A$1:$D$41, 4, FALSE), "Data Missing")</f>
        <v>North</v>
      </c>
      <c r="L355" s="7">
        <f>HLOOKUP(F355,payment_method!$A$1:$E$2,2,0)</f>
        <v>1.4999999999999999E-2</v>
      </c>
      <c r="M355" s="3" t="str">
        <f>IF(AND(E355&gt;5000, L355&lt;&gt;"East"), "High-Value Merchant Day", "Normal Day")</f>
        <v>Normal Day</v>
      </c>
    </row>
    <row r="356" spans="1:13" x14ac:dyDescent="0.3">
      <c r="A356" t="s">
        <v>369</v>
      </c>
      <c r="B356">
        <v>174</v>
      </c>
      <c r="C356">
        <v>36</v>
      </c>
      <c r="D356" s="1">
        <v>46026.515972222223</v>
      </c>
      <c r="E356">
        <v>149</v>
      </c>
      <c r="F356" t="s">
        <v>12</v>
      </c>
      <c r="G356" t="s">
        <v>10</v>
      </c>
      <c r="H356">
        <v>46</v>
      </c>
      <c r="I356" s="2">
        <f>VLOOKUP(B356,users!$A$1:$B$366,2,0)</f>
        <v>45332</v>
      </c>
      <c r="J356" s="3" t="str">
        <f>IFERROR(VLOOKUP(C356, merchants!$A$1:$D$41, 3, FALSE), "Data Missing")</f>
        <v>entertainment</v>
      </c>
      <c r="K356" s="3" t="str">
        <f>IFERROR(VLOOKUP(C356, merchants!$A$1:$D$41, 4, FALSE), "Data Missing")</f>
        <v>East</v>
      </c>
      <c r="L356" s="7">
        <f>HLOOKUP(F356,payment_method!$A$1:$E$2,2,0)</f>
        <v>0</v>
      </c>
      <c r="M356" s="3" t="str">
        <f>IF(AND(E356&gt;5000, L356&lt;&gt;"East"), "High-Value Merchant Day", "Normal Day")</f>
        <v>Normal Day</v>
      </c>
    </row>
    <row r="357" spans="1:13" x14ac:dyDescent="0.3">
      <c r="A357" t="s">
        <v>370</v>
      </c>
      <c r="B357">
        <v>309</v>
      </c>
      <c r="C357">
        <v>33</v>
      </c>
      <c r="D357" s="1">
        <v>46047.175000000003</v>
      </c>
      <c r="E357">
        <v>99</v>
      </c>
      <c r="F357" t="s">
        <v>12</v>
      </c>
      <c r="G357" t="s">
        <v>10</v>
      </c>
      <c r="H357">
        <v>51</v>
      </c>
      <c r="I357" s="2">
        <f>VLOOKUP(B357,users!$A$1:$B$366,2,0)</f>
        <v>45705</v>
      </c>
      <c r="J357" s="3" t="str">
        <f>IFERROR(VLOOKUP(C357, merchants!$A$1:$D$41, 3, FALSE), "Data Missing")</f>
        <v>bill_payment</v>
      </c>
      <c r="K357" s="3" t="str">
        <f>IFERROR(VLOOKUP(C357, merchants!$A$1:$D$41, 4, FALSE), "Data Missing")</f>
        <v>East</v>
      </c>
      <c r="L357" s="7">
        <f>HLOOKUP(F357,payment_method!$A$1:$E$2,2,0)</f>
        <v>0</v>
      </c>
      <c r="M357" s="3" t="str">
        <f>IF(AND(E357&gt;5000, L357&lt;&gt;"East"), "High-Value Merchant Day", "Normal Day")</f>
        <v>Normal Day</v>
      </c>
    </row>
    <row r="358" spans="1:13" x14ac:dyDescent="0.3">
      <c r="A358" t="s">
        <v>371</v>
      </c>
      <c r="B358">
        <v>20</v>
      </c>
      <c r="C358">
        <v>9</v>
      </c>
      <c r="D358" s="1">
        <v>46039.043055555558</v>
      </c>
      <c r="E358">
        <v>99</v>
      </c>
      <c r="F358" t="s">
        <v>12</v>
      </c>
      <c r="G358" t="s">
        <v>10</v>
      </c>
      <c r="H358">
        <v>91</v>
      </c>
      <c r="I358" s="2">
        <f>VLOOKUP(B358,users!$A$1:$B$366,2,0)</f>
        <v>45671</v>
      </c>
      <c r="J358" s="3" t="str">
        <f>IFERROR(VLOOKUP(C358, merchants!$A$1:$D$41, 3, FALSE), "Data Missing")</f>
        <v>ecommerce</v>
      </c>
      <c r="K358" s="3" t="str">
        <f>IFERROR(VLOOKUP(C358, merchants!$A$1:$D$41, 4, FALSE), "Data Missing")</f>
        <v>North</v>
      </c>
      <c r="L358" s="7">
        <f>HLOOKUP(F358,payment_method!$A$1:$E$2,2,0)</f>
        <v>0</v>
      </c>
      <c r="M358" s="3" t="str">
        <f>IF(AND(E358&gt;5000, L358&lt;&gt;"East"), "High-Value Merchant Day", "Normal Day")</f>
        <v>Normal Day</v>
      </c>
    </row>
    <row r="359" spans="1:13" x14ac:dyDescent="0.3">
      <c r="A359" t="s">
        <v>372</v>
      </c>
      <c r="B359">
        <v>234</v>
      </c>
      <c r="C359">
        <v>10</v>
      </c>
      <c r="D359" s="1">
        <v>46033.647916666669</v>
      </c>
      <c r="E359">
        <v>49</v>
      </c>
      <c r="F359" t="s">
        <v>12</v>
      </c>
      <c r="G359" t="s">
        <v>10</v>
      </c>
      <c r="H359">
        <v>77</v>
      </c>
      <c r="I359" s="2">
        <f>VLOOKUP(B359,users!$A$1:$B$366,2,0)</f>
        <v>45832</v>
      </c>
      <c r="J359" s="3" t="str">
        <f>IFERROR(VLOOKUP(C359, merchants!$A$1:$D$41, 3, FALSE), "Data Missing")</f>
        <v>grocery</v>
      </c>
      <c r="K359" s="3" t="str">
        <f>IFERROR(VLOOKUP(C359, merchants!$A$1:$D$41, 4, FALSE), "Data Missing")</f>
        <v>West</v>
      </c>
      <c r="L359" s="7">
        <f>HLOOKUP(F359,payment_method!$A$1:$E$2,2,0)</f>
        <v>0</v>
      </c>
      <c r="M359" s="3" t="str">
        <f>IF(AND(E359&gt;5000, L359&lt;&gt;"East"), "High-Value Merchant Day", "Normal Day")</f>
        <v>Normal Day</v>
      </c>
    </row>
    <row r="360" spans="1:13" x14ac:dyDescent="0.3">
      <c r="A360" t="s">
        <v>373</v>
      </c>
      <c r="B360">
        <v>168</v>
      </c>
      <c r="C360">
        <v>40</v>
      </c>
      <c r="D360" s="1">
        <v>46051.672222222223</v>
      </c>
      <c r="E360">
        <v>149</v>
      </c>
      <c r="F360" t="s">
        <v>12</v>
      </c>
      <c r="G360" t="s">
        <v>38</v>
      </c>
      <c r="H360">
        <v>40</v>
      </c>
      <c r="I360" s="2">
        <f>VLOOKUP(B360,users!$A$1:$B$366,2,0)</f>
        <v>45560</v>
      </c>
      <c r="J360" s="3" t="str">
        <f>IFERROR(VLOOKUP(C360, merchants!$A$1:$D$41, 3, FALSE), "Data Missing")</f>
        <v>entertainment</v>
      </c>
      <c r="K360" s="3" t="str">
        <f>IFERROR(VLOOKUP(C360, merchants!$A$1:$D$41, 4, FALSE), "Data Missing")</f>
        <v>South</v>
      </c>
      <c r="L360" s="7">
        <f>HLOOKUP(F360,payment_method!$A$1:$E$2,2,0)</f>
        <v>0</v>
      </c>
      <c r="M360" s="3" t="str">
        <f>IF(AND(E360&gt;5000, L360&lt;&gt;"East"), "High-Value Merchant Day", "Normal Day")</f>
        <v>Normal Day</v>
      </c>
    </row>
    <row r="361" spans="1:13" x14ac:dyDescent="0.3">
      <c r="A361" t="s">
        <v>374</v>
      </c>
      <c r="B361">
        <v>154</v>
      </c>
      <c r="C361">
        <v>38</v>
      </c>
      <c r="D361" s="1">
        <v>46028.527083333334</v>
      </c>
      <c r="E361">
        <v>99</v>
      </c>
      <c r="F361" t="s">
        <v>15</v>
      </c>
      <c r="G361" t="s">
        <v>10</v>
      </c>
      <c r="H361">
        <v>43</v>
      </c>
      <c r="I361" s="2">
        <f>VLOOKUP(B361,users!$A$1:$B$366,2,0)</f>
        <v>45441</v>
      </c>
      <c r="J361" s="3" t="str">
        <f>IFERROR(VLOOKUP(C361, merchants!$A$1:$D$41, 3, FALSE), "Data Missing")</f>
        <v>grocery</v>
      </c>
      <c r="K361" s="3" t="str">
        <f>IFERROR(VLOOKUP(C361, merchants!$A$1:$D$41, 4, FALSE), "Data Missing")</f>
        <v>East</v>
      </c>
      <c r="L361" s="7">
        <f>HLOOKUP(F361,payment_method!$A$1:$E$2,2,0)</f>
        <v>1.4999999999999999E-2</v>
      </c>
      <c r="M361" s="3" t="str">
        <f>IF(AND(E361&gt;5000, L361&lt;&gt;"East"), "High-Value Merchant Day", "Normal Day")</f>
        <v>Normal Day</v>
      </c>
    </row>
    <row r="362" spans="1:13" x14ac:dyDescent="0.3">
      <c r="A362" t="s">
        <v>375</v>
      </c>
      <c r="B362">
        <v>251</v>
      </c>
      <c r="C362">
        <v>37</v>
      </c>
      <c r="D362" s="1">
        <v>46039.69027777778</v>
      </c>
      <c r="E362">
        <v>49</v>
      </c>
      <c r="F362" t="s">
        <v>12</v>
      </c>
      <c r="G362" t="s">
        <v>10</v>
      </c>
      <c r="H362">
        <v>38</v>
      </c>
      <c r="I362" s="2">
        <f>VLOOKUP(B362,users!$A$1:$B$366,2,0)</f>
        <v>45359</v>
      </c>
      <c r="J362" s="3" t="str">
        <f>IFERROR(VLOOKUP(C362, merchants!$A$1:$D$41, 3, FALSE), "Data Missing")</f>
        <v>entertainment</v>
      </c>
      <c r="K362" s="3" t="str">
        <f>IFERROR(VLOOKUP(C362, merchants!$A$1:$D$41, 4, FALSE), "Data Missing")</f>
        <v>South</v>
      </c>
      <c r="L362" s="7">
        <f>HLOOKUP(F362,payment_method!$A$1:$E$2,2,0)</f>
        <v>0</v>
      </c>
      <c r="M362" s="3" t="str">
        <f>IF(AND(E362&gt;5000, L362&lt;&gt;"East"), "High-Value Merchant Day", "Normal Day")</f>
        <v>Normal Day</v>
      </c>
    </row>
    <row r="363" spans="1:13" x14ac:dyDescent="0.3">
      <c r="A363" t="s">
        <v>376</v>
      </c>
      <c r="B363">
        <v>170</v>
      </c>
      <c r="C363">
        <v>8</v>
      </c>
      <c r="D363" s="1">
        <v>46038.015972222223</v>
      </c>
      <c r="E363">
        <v>2999</v>
      </c>
      <c r="F363" t="s">
        <v>12</v>
      </c>
      <c r="G363" t="s">
        <v>10</v>
      </c>
      <c r="H363">
        <v>53</v>
      </c>
      <c r="I363" s="2">
        <f>VLOOKUP(B363,users!$A$1:$B$366,2,0)</f>
        <v>45515</v>
      </c>
      <c r="J363" s="3" t="str">
        <f>IFERROR(VLOOKUP(C363, merchants!$A$1:$D$41, 3, FALSE), "Data Missing")</f>
        <v>food_delivery</v>
      </c>
      <c r="K363" s="3" t="str">
        <f>IFERROR(VLOOKUP(C363, merchants!$A$1:$D$41, 4, FALSE), "Data Missing")</f>
        <v>North</v>
      </c>
      <c r="L363" s="7">
        <f>HLOOKUP(F363,payment_method!$A$1:$E$2,2,0)</f>
        <v>0</v>
      </c>
      <c r="M363" s="3" t="str">
        <f>IF(AND(E363&gt;5000, L363&lt;&gt;"East"), "High-Value Merchant Day", "Normal Day")</f>
        <v>Normal Day</v>
      </c>
    </row>
    <row r="364" spans="1:13" x14ac:dyDescent="0.3">
      <c r="A364" t="s">
        <v>377</v>
      </c>
      <c r="B364">
        <v>323</v>
      </c>
      <c r="C364">
        <v>2</v>
      </c>
      <c r="D364" s="1">
        <v>46041.409722222219</v>
      </c>
      <c r="E364">
        <v>49</v>
      </c>
      <c r="F364" t="s">
        <v>15</v>
      </c>
      <c r="G364" t="s">
        <v>10</v>
      </c>
      <c r="H364">
        <v>76</v>
      </c>
      <c r="I364" s="2">
        <f>VLOOKUP(B364,users!$A$1:$B$366,2,0)</f>
        <v>45710</v>
      </c>
      <c r="J364" s="3" t="str">
        <f>IFERROR(VLOOKUP(C364, merchants!$A$1:$D$41, 3, FALSE), "Data Missing")</f>
        <v>grocery</v>
      </c>
      <c r="K364" s="3" t="str">
        <f>IFERROR(VLOOKUP(C364, merchants!$A$1:$D$41, 4, FALSE), "Data Missing")</f>
        <v>West</v>
      </c>
      <c r="L364" s="7">
        <f>HLOOKUP(F364,payment_method!$A$1:$E$2,2,0)</f>
        <v>1.4999999999999999E-2</v>
      </c>
      <c r="M364" s="3" t="str">
        <f>IF(AND(E364&gt;5000, L364&lt;&gt;"East"), "High-Value Merchant Day", "Normal Day")</f>
        <v>Normal Day</v>
      </c>
    </row>
    <row r="365" spans="1:13" x14ac:dyDescent="0.3">
      <c r="A365" t="s">
        <v>378</v>
      </c>
      <c r="B365">
        <v>297</v>
      </c>
      <c r="C365">
        <v>37</v>
      </c>
      <c r="D365" s="1">
        <v>46038.361805555556</v>
      </c>
      <c r="E365">
        <v>2999</v>
      </c>
      <c r="F365" t="s">
        <v>9</v>
      </c>
      <c r="G365" t="s">
        <v>10</v>
      </c>
      <c r="H365">
        <v>29</v>
      </c>
      <c r="I365" s="2">
        <f>VLOOKUP(B365,users!$A$1:$B$366,2,0)</f>
        <v>45310</v>
      </c>
      <c r="J365" s="3" t="str">
        <f>IFERROR(VLOOKUP(C365, merchants!$A$1:$D$41, 3, FALSE), "Data Missing")</f>
        <v>entertainment</v>
      </c>
      <c r="K365" s="3" t="str">
        <f>IFERROR(VLOOKUP(C365, merchants!$A$1:$D$41, 4, FALSE), "Data Missing")</f>
        <v>South</v>
      </c>
      <c r="L365" s="7">
        <f>HLOOKUP(F365,payment_method!$A$1:$E$2,2,0)</f>
        <v>1.2E-2</v>
      </c>
      <c r="M365" s="3" t="str">
        <f>IF(AND(E365&gt;5000, L365&lt;&gt;"East"), "High-Value Merchant Day", "Normal Day")</f>
        <v>Normal Day</v>
      </c>
    </row>
    <row r="366" spans="1:13" x14ac:dyDescent="0.3">
      <c r="A366" t="s">
        <v>379</v>
      </c>
      <c r="B366">
        <v>246</v>
      </c>
      <c r="C366">
        <v>11</v>
      </c>
      <c r="D366" s="1">
        <v>46046.067361111112</v>
      </c>
      <c r="E366">
        <v>299</v>
      </c>
      <c r="F366" t="s">
        <v>12</v>
      </c>
      <c r="G366" t="s">
        <v>10</v>
      </c>
      <c r="H366">
        <v>67</v>
      </c>
      <c r="I366" s="2">
        <f>VLOOKUP(B366,users!$A$1:$B$366,2,0)</f>
        <v>45410</v>
      </c>
      <c r="J366" s="3" t="str">
        <f>IFERROR(VLOOKUP(C366, merchants!$A$1:$D$41, 3, FALSE), "Data Missing")</f>
        <v>ecommerce</v>
      </c>
      <c r="K366" s="3" t="str">
        <f>IFERROR(VLOOKUP(C366, merchants!$A$1:$D$41, 4, FALSE), "Data Missing")</f>
        <v>North</v>
      </c>
      <c r="L366" s="7">
        <f>HLOOKUP(F366,payment_method!$A$1:$E$2,2,0)</f>
        <v>0</v>
      </c>
      <c r="M366" s="3" t="str">
        <f>IF(AND(E366&gt;5000, L366&lt;&gt;"East"), "High-Value Merchant Day", "Normal Day")</f>
        <v>Normal Day</v>
      </c>
    </row>
    <row r="367" spans="1:13" x14ac:dyDescent="0.3">
      <c r="A367" t="s">
        <v>380</v>
      </c>
      <c r="B367">
        <v>195</v>
      </c>
      <c r="C367">
        <v>10</v>
      </c>
      <c r="D367" s="1">
        <v>46043.98541666667</v>
      </c>
      <c r="E367">
        <v>99</v>
      </c>
      <c r="F367" t="s">
        <v>12</v>
      </c>
      <c r="G367" t="s">
        <v>10</v>
      </c>
      <c r="H367">
        <v>87</v>
      </c>
      <c r="I367" s="2">
        <f>VLOOKUP(B367,users!$A$1:$B$366,2,0)</f>
        <v>45942</v>
      </c>
      <c r="J367" s="3" t="str">
        <f>IFERROR(VLOOKUP(C367, merchants!$A$1:$D$41, 3, FALSE), "Data Missing")</f>
        <v>grocery</v>
      </c>
      <c r="K367" s="3" t="str">
        <f>IFERROR(VLOOKUP(C367, merchants!$A$1:$D$41, 4, FALSE), "Data Missing")</f>
        <v>West</v>
      </c>
      <c r="L367" s="7">
        <f>HLOOKUP(F367,payment_method!$A$1:$E$2,2,0)</f>
        <v>0</v>
      </c>
      <c r="M367" s="3" t="str">
        <f>IF(AND(E367&gt;5000, L367&lt;&gt;"East"), "High-Value Merchant Day", "Normal Day")</f>
        <v>Normal Day</v>
      </c>
    </row>
    <row r="368" spans="1:13" x14ac:dyDescent="0.3">
      <c r="A368" t="s">
        <v>381</v>
      </c>
      <c r="B368">
        <v>57</v>
      </c>
      <c r="C368">
        <v>13</v>
      </c>
      <c r="D368" s="1">
        <v>46030.066666666666</v>
      </c>
      <c r="E368">
        <v>149</v>
      </c>
      <c r="F368" t="s">
        <v>12</v>
      </c>
      <c r="G368" t="s">
        <v>10</v>
      </c>
      <c r="H368">
        <v>2</v>
      </c>
      <c r="I368" s="2">
        <f>VLOOKUP(B368,users!$A$1:$B$366,2,0)</f>
        <v>45452</v>
      </c>
      <c r="J368" s="3" t="str">
        <f>IFERROR(VLOOKUP(C368, merchants!$A$1:$D$41, 3, FALSE), "Data Missing")</f>
        <v>travel</v>
      </c>
      <c r="K368" s="3" t="str">
        <f>IFERROR(VLOOKUP(C368, merchants!$A$1:$D$41, 4, FALSE), "Data Missing")</f>
        <v>East</v>
      </c>
      <c r="L368" s="7">
        <f>HLOOKUP(F368,payment_method!$A$1:$E$2,2,0)</f>
        <v>0</v>
      </c>
      <c r="M368" s="3" t="str">
        <f>IF(AND(E368&gt;5000, L368&lt;&gt;"East"), "High-Value Merchant Day", "Normal Day")</f>
        <v>Normal Day</v>
      </c>
    </row>
    <row r="369" spans="1:13" x14ac:dyDescent="0.3">
      <c r="A369" t="s">
        <v>382</v>
      </c>
      <c r="B369">
        <v>78</v>
      </c>
      <c r="C369">
        <v>27</v>
      </c>
      <c r="D369" s="1">
        <v>46037.43472222222</v>
      </c>
      <c r="E369">
        <v>1499</v>
      </c>
      <c r="F369" t="s">
        <v>15</v>
      </c>
      <c r="G369" t="s">
        <v>25</v>
      </c>
      <c r="H369">
        <v>88</v>
      </c>
      <c r="I369" s="2">
        <f>VLOOKUP(B369,users!$A$1:$B$366,2,0)</f>
        <v>45885</v>
      </c>
      <c r="J369" s="3" t="str">
        <f>IFERROR(VLOOKUP(C369, merchants!$A$1:$D$41, 3, FALSE), "Data Missing")</f>
        <v>ecommerce</v>
      </c>
      <c r="K369" s="3" t="str">
        <f>IFERROR(VLOOKUP(C369, merchants!$A$1:$D$41, 4, FALSE), "Data Missing")</f>
        <v>North</v>
      </c>
      <c r="L369" s="7">
        <f>HLOOKUP(F369,payment_method!$A$1:$E$2,2,0)</f>
        <v>1.4999999999999999E-2</v>
      </c>
      <c r="M369" s="3" t="str">
        <f>IF(AND(E369&gt;5000, L369&lt;&gt;"East"), "High-Value Merchant Day", "Normal Day")</f>
        <v>Normal Day</v>
      </c>
    </row>
    <row r="370" spans="1:13" x14ac:dyDescent="0.3">
      <c r="A370" t="s">
        <v>383</v>
      </c>
      <c r="B370">
        <v>314</v>
      </c>
      <c r="C370">
        <v>31</v>
      </c>
      <c r="D370" s="1">
        <v>46029.563888888886</v>
      </c>
      <c r="E370">
        <v>49</v>
      </c>
      <c r="F370" t="s">
        <v>12</v>
      </c>
      <c r="G370" t="s">
        <v>38</v>
      </c>
      <c r="H370">
        <v>94</v>
      </c>
      <c r="I370" s="2">
        <f>VLOOKUP(B370,users!$A$1:$B$366,2,0)</f>
        <v>45344</v>
      </c>
      <c r="J370" s="3" t="str">
        <f>IFERROR(VLOOKUP(C370, merchants!$A$1:$D$41, 3, FALSE), "Data Missing")</f>
        <v>bill_payment</v>
      </c>
      <c r="K370" s="3" t="str">
        <f>IFERROR(VLOOKUP(C370, merchants!$A$1:$D$41, 4, FALSE), "Data Missing")</f>
        <v>East</v>
      </c>
      <c r="L370" s="7">
        <f>HLOOKUP(F370,payment_method!$A$1:$E$2,2,0)</f>
        <v>0</v>
      </c>
      <c r="M370" s="3" t="str">
        <f>IF(AND(E370&gt;5000, L370&lt;&gt;"East"), "High-Value Merchant Day", "Normal Day")</f>
        <v>Normal Day</v>
      </c>
    </row>
    <row r="371" spans="1:13" x14ac:dyDescent="0.3">
      <c r="A371" t="s">
        <v>384</v>
      </c>
      <c r="B371">
        <v>71</v>
      </c>
      <c r="C371">
        <v>34</v>
      </c>
      <c r="D371" s="1">
        <v>46046.072916666664</v>
      </c>
      <c r="E371">
        <v>499</v>
      </c>
      <c r="F371" t="s">
        <v>12</v>
      </c>
      <c r="G371" t="s">
        <v>10</v>
      </c>
      <c r="H371">
        <v>26</v>
      </c>
      <c r="I371" s="2">
        <f>VLOOKUP(B371,users!$A$1:$B$366,2,0)</f>
        <v>45832</v>
      </c>
      <c r="J371" s="3" t="str">
        <f>IFERROR(VLOOKUP(C371, merchants!$A$1:$D$41, 3, FALSE), "Data Missing")</f>
        <v>travel</v>
      </c>
      <c r="K371" s="3" t="str">
        <f>IFERROR(VLOOKUP(C371, merchants!$A$1:$D$41, 4, FALSE), "Data Missing")</f>
        <v>South</v>
      </c>
      <c r="L371" s="7">
        <f>HLOOKUP(F371,payment_method!$A$1:$E$2,2,0)</f>
        <v>0</v>
      </c>
      <c r="M371" s="3" t="str">
        <f>IF(AND(E371&gt;5000, L371&lt;&gt;"East"), "High-Value Merchant Day", "Normal Day")</f>
        <v>Normal Day</v>
      </c>
    </row>
    <row r="372" spans="1:13" x14ac:dyDescent="0.3">
      <c r="A372" t="s">
        <v>385</v>
      </c>
      <c r="B372">
        <v>245</v>
      </c>
      <c r="C372">
        <v>34</v>
      </c>
      <c r="D372" s="1">
        <v>46040.445833333331</v>
      </c>
      <c r="E372">
        <v>99</v>
      </c>
      <c r="F372" t="s">
        <v>12</v>
      </c>
      <c r="G372" t="s">
        <v>10</v>
      </c>
      <c r="H372">
        <v>48</v>
      </c>
      <c r="I372" s="2">
        <f>VLOOKUP(B372,users!$A$1:$B$366,2,0)</f>
        <v>45871</v>
      </c>
      <c r="J372" s="3" t="str">
        <f>IFERROR(VLOOKUP(C372, merchants!$A$1:$D$41, 3, FALSE), "Data Missing")</f>
        <v>travel</v>
      </c>
      <c r="K372" s="3" t="str">
        <f>IFERROR(VLOOKUP(C372, merchants!$A$1:$D$41, 4, FALSE), "Data Missing")</f>
        <v>South</v>
      </c>
      <c r="L372" s="7">
        <f>HLOOKUP(F372,payment_method!$A$1:$E$2,2,0)</f>
        <v>0</v>
      </c>
      <c r="M372" s="3" t="str">
        <f>IF(AND(E372&gt;5000, L372&lt;&gt;"East"), "High-Value Merchant Day", "Normal Day")</f>
        <v>Normal Day</v>
      </c>
    </row>
    <row r="373" spans="1:13" x14ac:dyDescent="0.3">
      <c r="A373" t="s">
        <v>386</v>
      </c>
      <c r="B373">
        <v>273</v>
      </c>
      <c r="C373">
        <v>22</v>
      </c>
      <c r="D373" s="1">
        <v>46033.228472222225</v>
      </c>
      <c r="E373">
        <v>299</v>
      </c>
      <c r="F373" t="s">
        <v>9</v>
      </c>
      <c r="G373" t="s">
        <v>10</v>
      </c>
      <c r="H373">
        <v>69</v>
      </c>
      <c r="I373" s="2">
        <f>VLOOKUP(B373,users!$A$1:$B$366,2,0)</f>
        <v>45984</v>
      </c>
      <c r="J373" s="3" t="str">
        <f>IFERROR(VLOOKUP(C373, merchants!$A$1:$D$41, 3, FALSE), "Data Missing")</f>
        <v>travel</v>
      </c>
      <c r="K373" s="3" t="str">
        <f>IFERROR(VLOOKUP(C373, merchants!$A$1:$D$41, 4, FALSE), "Data Missing")</f>
        <v>South</v>
      </c>
      <c r="L373" s="7">
        <f>HLOOKUP(F373,payment_method!$A$1:$E$2,2,0)</f>
        <v>1.2E-2</v>
      </c>
      <c r="M373" s="3" t="str">
        <f>IF(AND(E373&gt;5000, L373&lt;&gt;"East"), "High-Value Merchant Day", "Normal Day")</f>
        <v>Normal Day</v>
      </c>
    </row>
    <row r="374" spans="1:13" x14ac:dyDescent="0.3">
      <c r="A374" t="s">
        <v>387</v>
      </c>
      <c r="B374">
        <v>349</v>
      </c>
      <c r="C374">
        <v>17</v>
      </c>
      <c r="D374" s="1">
        <v>46034.90902777778</v>
      </c>
      <c r="E374">
        <v>1499</v>
      </c>
      <c r="F374" t="s">
        <v>12</v>
      </c>
      <c r="G374" t="s">
        <v>10</v>
      </c>
      <c r="H374">
        <v>78</v>
      </c>
      <c r="I374" s="2">
        <f>VLOOKUP(B374,users!$A$1:$B$366,2,0)</f>
        <v>45620</v>
      </c>
      <c r="J374" s="3" t="str">
        <f>IFERROR(VLOOKUP(C374, merchants!$A$1:$D$41, 3, FALSE), "Data Missing")</f>
        <v>grocery</v>
      </c>
      <c r="K374" s="3" t="str">
        <f>IFERROR(VLOOKUP(C374, merchants!$A$1:$D$41, 4, FALSE), "Data Missing")</f>
        <v>North</v>
      </c>
      <c r="L374" s="7">
        <f>HLOOKUP(F374,payment_method!$A$1:$E$2,2,0)</f>
        <v>0</v>
      </c>
      <c r="M374" s="3" t="str">
        <f>IF(AND(E374&gt;5000, L374&lt;&gt;"East"), "High-Value Merchant Day", "Normal Day")</f>
        <v>Normal Day</v>
      </c>
    </row>
    <row r="375" spans="1:13" x14ac:dyDescent="0.3">
      <c r="A375" t="s">
        <v>388</v>
      </c>
      <c r="B375">
        <v>143</v>
      </c>
      <c r="C375">
        <v>36</v>
      </c>
      <c r="D375" s="1">
        <v>46038.260416666664</v>
      </c>
      <c r="E375">
        <v>1499</v>
      </c>
      <c r="F375" t="s">
        <v>15</v>
      </c>
      <c r="G375" t="s">
        <v>10</v>
      </c>
      <c r="H375">
        <v>38</v>
      </c>
      <c r="I375" s="2">
        <f>VLOOKUP(B375,users!$A$1:$B$366,2,0)</f>
        <v>45759</v>
      </c>
      <c r="J375" s="3" t="str">
        <f>IFERROR(VLOOKUP(C375, merchants!$A$1:$D$41, 3, FALSE), "Data Missing")</f>
        <v>entertainment</v>
      </c>
      <c r="K375" s="3" t="str">
        <f>IFERROR(VLOOKUP(C375, merchants!$A$1:$D$41, 4, FALSE), "Data Missing")</f>
        <v>East</v>
      </c>
      <c r="L375" s="7">
        <f>HLOOKUP(F375,payment_method!$A$1:$E$2,2,0)</f>
        <v>1.4999999999999999E-2</v>
      </c>
      <c r="M375" s="3" t="str">
        <f>IF(AND(E375&gt;5000, L375&lt;&gt;"East"), "High-Value Merchant Day", "Normal Day")</f>
        <v>Normal Day</v>
      </c>
    </row>
    <row r="376" spans="1:13" x14ac:dyDescent="0.3">
      <c r="A376" t="s">
        <v>389</v>
      </c>
      <c r="B376">
        <v>148</v>
      </c>
      <c r="C376">
        <v>14</v>
      </c>
      <c r="D376" s="1">
        <v>46030.40902777778</v>
      </c>
      <c r="E376">
        <v>799</v>
      </c>
      <c r="F376" t="s">
        <v>9</v>
      </c>
      <c r="G376" t="s">
        <v>10</v>
      </c>
      <c r="H376">
        <v>88</v>
      </c>
      <c r="I376" s="2">
        <f>VLOOKUP(B376,users!$A$1:$B$366,2,0)</f>
        <v>45467</v>
      </c>
      <c r="J376" s="3" t="str">
        <f>IFERROR(VLOOKUP(C376, merchants!$A$1:$D$41, 3, FALSE), "Data Missing")</f>
        <v>grocery</v>
      </c>
      <c r="K376" s="3" t="str">
        <f>IFERROR(VLOOKUP(C376, merchants!$A$1:$D$41, 4, FALSE), "Data Missing")</f>
        <v>East</v>
      </c>
      <c r="L376" s="7">
        <f>HLOOKUP(F376,payment_method!$A$1:$E$2,2,0)</f>
        <v>1.2E-2</v>
      </c>
      <c r="M376" s="3" t="str">
        <f>IF(AND(E376&gt;5000, L376&lt;&gt;"East"), "High-Value Merchant Day", "Normal Day")</f>
        <v>Normal Day</v>
      </c>
    </row>
    <row r="377" spans="1:13" x14ac:dyDescent="0.3">
      <c r="A377" t="s">
        <v>390</v>
      </c>
      <c r="B377">
        <v>246</v>
      </c>
      <c r="C377">
        <v>23</v>
      </c>
      <c r="D377" s="1">
        <v>46045.638888888891</v>
      </c>
      <c r="E377">
        <v>49</v>
      </c>
      <c r="F377" t="s">
        <v>12</v>
      </c>
      <c r="G377" t="s">
        <v>10</v>
      </c>
      <c r="H377">
        <v>71</v>
      </c>
      <c r="I377" s="2">
        <f>VLOOKUP(B377,users!$A$1:$B$366,2,0)</f>
        <v>45410</v>
      </c>
      <c r="J377" s="3" t="str">
        <f>IFERROR(VLOOKUP(C377, merchants!$A$1:$D$41, 3, FALSE), "Data Missing")</f>
        <v>travel</v>
      </c>
      <c r="K377" s="3" t="str">
        <f>IFERROR(VLOOKUP(C377, merchants!$A$1:$D$41, 4, FALSE), "Data Missing")</f>
        <v>North</v>
      </c>
      <c r="L377" s="7">
        <f>HLOOKUP(F377,payment_method!$A$1:$E$2,2,0)</f>
        <v>0</v>
      </c>
      <c r="M377" s="3" t="str">
        <f>IF(AND(E377&gt;5000, L377&lt;&gt;"East"), "High-Value Merchant Day", "Normal Day")</f>
        <v>Normal Day</v>
      </c>
    </row>
    <row r="378" spans="1:13" x14ac:dyDescent="0.3">
      <c r="A378" t="s">
        <v>391</v>
      </c>
      <c r="B378">
        <v>148</v>
      </c>
      <c r="C378">
        <v>8</v>
      </c>
      <c r="D378" s="1">
        <v>46052.970138888886</v>
      </c>
      <c r="E378">
        <v>99</v>
      </c>
      <c r="F378" t="s">
        <v>9</v>
      </c>
      <c r="G378" t="s">
        <v>10</v>
      </c>
      <c r="H378">
        <v>73</v>
      </c>
      <c r="I378" s="2">
        <f>VLOOKUP(B378,users!$A$1:$B$366,2,0)</f>
        <v>45467</v>
      </c>
      <c r="J378" s="3" t="str">
        <f>IFERROR(VLOOKUP(C378, merchants!$A$1:$D$41, 3, FALSE), "Data Missing")</f>
        <v>food_delivery</v>
      </c>
      <c r="K378" s="3" t="str">
        <f>IFERROR(VLOOKUP(C378, merchants!$A$1:$D$41, 4, FALSE), "Data Missing")</f>
        <v>North</v>
      </c>
      <c r="L378" s="7">
        <f>HLOOKUP(F378,payment_method!$A$1:$E$2,2,0)</f>
        <v>1.2E-2</v>
      </c>
      <c r="M378" s="3" t="str">
        <f>IF(AND(E378&gt;5000, L378&lt;&gt;"East"), "High-Value Merchant Day", "Normal Day")</f>
        <v>Normal Day</v>
      </c>
    </row>
    <row r="379" spans="1:13" x14ac:dyDescent="0.3">
      <c r="A379" t="s">
        <v>392</v>
      </c>
      <c r="B379">
        <v>203</v>
      </c>
      <c r="C379">
        <v>23</v>
      </c>
      <c r="D379" s="1">
        <v>46044.724999999999</v>
      </c>
      <c r="E379">
        <v>49</v>
      </c>
      <c r="F379" t="s">
        <v>12</v>
      </c>
      <c r="G379" t="s">
        <v>10</v>
      </c>
      <c r="H379">
        <v>98</v>
      </c>
      <c r="I379" s="2">
        <f>VLOOKUP(B379,users!$A$1:$B$366,2,0)</f>
        <v>45496</v>
      </c>
      <c r="J379" s="3" t="str">
        <f>IFERROR(VLOOKUP(C379, merchants!$A$1:$D$41, 3, FALSE), "Data Missing")</f>
        <v>travel</v>
      </c>
      <c r="K379" s="3" t="str">
        <f>IFERROR(VLOOKUP(C379, merchants!$A$1:$D$41, 4, FALSE), "Data Missing")</f>
        <v>North</v>
      </c>
      <c r="L379" s="7">
        <f>HLOOKUP(F379,payment_method!$A$1:$E$2,2,0)</f>
        <v>0</v>
      </c>
      <c r="M379" s="3" t="str">
        <f>IF(AND(E379&gt;5000, L379&lt;&gt;"East"), "High-Value Merchant Day", "Normal Day")</f>
        <v>Normal Day</v>
      </c>
    </row>
    <row r="380" spans="1:13" x14ac:dyDescent="0.3">
      <c r="A380" t="s">
        <v>393</v>
      </c>
      <c r="B380">
        <v>22</v>
      </c>
      <c r="C380">
        <v>19</v>
      </c>
      <c r="D380" s="1">
        <v>46048.179166666669</v>
      </c>
      <c r="E380">
        <v>49</v>
      </c>
      <c r="F380" t="s">
        <v>24</v>
      </c>
      <c r="G380" t="s">
        <v>10</v>
      </c>
      <c r="H380">
        <v>91</v>
      </c>
      <c r="I380" s="2">
        <f>VLOOKUP(B380,users!$A$1:$B$366,2,0)</f>
        <v>45322</v>
      </c>
      <c r="J380" s="3" t="str">
        <f>IFERROR(VLOOKUP(C380, merchants!$A$1:$D$41, 3, FALSE), "Data Missing")</f>
        <v>grocery</v>
      </c>
      <c r="K380" s="3" t="str">
        <f>IFERROR(VLOOKUP(C380, merchants!$A$1:$D$41, 4, FALSE), "Data Missing")</f>
        <v>North</v>
      </c>
      <c r="L380" s="7">
        <f>HLOOKUP(F380,payment_method!$A$1:$E$2,2,0)</f>
        <v>0.02</v>
      </c>
      <c r="M380" s="3" t="str">
        <f>IF(AND(E380&gt;5000, L380&lt;&gt;"East"), "High-Value Merchant Day", "Normal Day")</f>
        <v>Normal Day</v>
      </c>
    </row>
    <row r="381" spans="1:13" x14ac:dyDescent="0.3">
      <c r="A381" t="s">
        <v>394</v>
      </c>
      <c r="B381">
        <v>227</v>
      </c>
      <c r="C381">
        <v>17</v>
      </c>
      <c r="D381" s="1">
        <v>46025.499305555553</v>
      </c>
      <c r="E381">
        <v>299</v>
      </c>
      <c r="F381" t="s">
        <v>9</v>
      </c>
      <c r="G381" t="s">
        <v>10</v>
      </c>
      <c r="H381">
        <v>95</v>
      </c>
      <c r="I381" s="2">
        <f>VLOOKUP(B381,users!$A$1:$B$366,2,0)</f>
        <v>45672</v>
      </c>
      <c r="J381" s="3" t="str">
        <f>IFERROR(VLOOKUP(C381, merchants!$A$1:$D$41, 3, FALSE), "Data Missing")</f>
        <v>grocery</v>
      </c>
      <c r="K381" s="3" t="str">
        <f>IFERROR(VLOOKUP(C381, merchants!$A$1:$D$41, 4, FALSE), "Data Missing")</f>
        <v>North</v>
      </c>
      <c r="L381" s="7">
        <f>HLOOKUP(F381,payment_method!$A$1:$E$2,2,0)</f>
        <v>1.2E-2</v>
      </c>
      <c r="M381" s="3" t="str">
        <f>IF(AND(E381&gt;5000, L381&lt;&gt;"East"), "High-Value Merchant Day", "Normal Day")</f>
        <v>Normal Day</v>
      </c>
    </row>
    <row r="382" spans="1:13" x14ac:dyDescent="0.3">
      <c r="A382" t="s">
        <v>395</v>
      </c>
      <c r="B382">
        <v>276</v>
      </c>
      <c r="C382">
        <v>18</v>
      </c>
      <c r="D382" s="1">
        <v>46038.258333333331</v>
      </c>
      <c r="E382">
        <v>149</v>
      </c>
      <c r="F382" t="s">
        <v>9</v>
      </c>
      <c r="G382" t="s">
        <v>10</v>
      </c>
      <c r="H382">
        <v>71</v>
      </c>
      <c r="I382" s="2">
        <f>VLOOKUP(B382,users!$A$1:$B$366,2,0)</f>
        <v>45417</v>
      </c>
      <c r="J382" s="3" t="str">
        <f>IFERROR(VLOOKUP(C382, merchants!$A$1:$D$41, 3, FALSE), "Data Missing")</f>
        <v>grocery</v>
      </c>
      <c r="K382" s="3" t="str">
        <f>IFERROR(VLOOKUP(C382, merchants!$A$1:$D$41, 4, FALSE), "Data Missing")</f>
        <v>West</v>
      </c>
      <c r="L382" s="7">
        <f>HLOOKUP(F382,payment_method!$A$1:$E$2,2,0)</f>
        <v>1.2E-2</v>
      </c>
      <c r="M382" s="3" t="str">
        <f>IF(AND(E382&gt;5000, L382&lt;&gt;"East"), "High-Value Merchant Day", "Normal Day")</f>
        <v>Normal Day</v>
      </c>
    </row>
    <row r="383" spans="1:13" x14ac:dyDescent="0.3">
      <c r="A383" t="s">
        <v>396</v>
      </c>
      <c r="B383">
        <v>56</v>
      </c>
      <c r="C383">
        <v>40</v>
      </c>
      <c r="D383" s="1">
        <v>46045.338888888888</v>
      </c>
      <c r="E383">
        <v>99</v>
      </c>
      <c r="F383" t="s">
        <v>24</v>
      </c>
      <c r="G383" t="s">
        <v>10</v>
      </c>
      <c r="H383">
        <v>94</v>
      </c>
      <c r="I383" s="2">
        <f>VLOOKUP(B383,users!$A$1:$B$366,2,0)</f>
        <v>45514</v>
      </c>
      <c r="J383" s="3" t="str">
        <f>IFERROR(VLOOKUP(C383, merchants!$A$1:$D$41, 3, FALSE), "Data Missing")</f>
        <v>entertainment</v>
      </c>
      <c r="K383" s="3" t="str">
        <f>IFERROR(VLOOKUP(C383, merchants!$A$1:$D$41, 4, FALSE), "Data Missing")</f>
        <v>South</v>
      </c>
      <c r="L383" s="7">
        <f>HLOOKUP(F383,payment_method!$A$1:$E$2,2,0)</f>
        <v>0.02</v>
      </c>
      <c r="M383" s="3" t="str">
        <f>IF(AND(E383&gt;5000, L383&lt;&gt;"East"), "High-Value Merchant Day", "Normal Day")</f>
        <v>Normal Day</v>
      </c>
    </row>
    <row r="384" spans="1:13" x14ac:dyDescent="0.3">
      <c r="A384" t="s">
        <v>397</v>
      </c>
      <c r="B384">
        <v>26</v>
      </c>
      <c r="C384">
        <v>34</v>
      </c>
      <c r="D384" s="1">
        <v>46041.302083333336</v>
      </c>
      <c r="E384">
        <v>499</v>
      </c>
      <c r="F384" t="s">
        <v>24</v>
      </c>
      <c r="G384" t="s">
        <v>10</v>
      </c>
      <c r="H384">
        <v>28</v>
      </c>
      <c r="I384" s="2">
        <f>VLOOKUP(B384,users!$A$1:$B$366,2,0)</f>
        <v>45524</v>
      </c>
      <c r="J384" s="3" t="str">
        <f>IFERROR(VLOOKUP(C384, merchants!$A$1:$D$41, 3, FALSE), "Data Missing")</f>
        <v>travel</v>
      </c>
      <c r="K384" s="3" t="str">
        <f>IFERROR(VLOOKUP(C384, merchants!$A$1:$D$41, 4, FALSE), "Data Missing")</f>
        <v>South</v>
      </c>
      <c r="L384" s="7">
        <f>HLOOKUP(F384,payment_method!$A$1:$E$2,2,0)</f>
        <v>0.02</v>
      </c>
      <c r="M384" s="3" t="str">
        <f>IF(AND(E384&gt;5000, L384&lt;&gt;"East"), "High-Value Merchant Day", "Normal Day")</f>
        <v>Normal Day</v>
      </c>
    </row>
    <row r="385" spans="1:13" x14ac:dyDescent="0.3">
      <c r="A385" t="s">
        <v>398</v>
      </c>
      <c r="B385">
        <v>52</v>
      </c>
      <c r="C385">
        <v>27</v>
      </c>
      <c r="D385" s="1">
        <v>46043.293749999997</v>
      </c>
      <c r="E385">
        <v>499</v>
      </c>
      <c r="F385" t="s">
        <v>24</v>
      </c>
      <c r="G385" t="s">
        <v>10</v>
      </c>
      <c r="H385">
        <v>42</v>
      </c>
      <c r="I385" s="2">
        <f>VLOOKUP(B385,users!$A$1:$B$366,2,0)</f>
        <v>45928</v>
      </c>
      <c r="J385" s="3" t="str">
        <f>IFERROR(VLOOKUP(C385, merchants!$A$1:$D$41, 3, FALSE), "Data Missing")</f>
        <v>ecommerce</v>
      </c>
      <c r="K385" s="3" t="str">
        <f>IFERROR(VLOOKUP(C385, merchants!$A$1:$D$41, 4, FALSE), "Data Missing")</f>
        <v>North</v>
      </c>
      <c r="L385" s="7">
        <f>HLOOKUP(F385,payment_method!$A$1:$E$2,2,0)</f>
        <v>0.02</v>
      </c>
      <c r="M385" s="3" t="str">
        <f>IF(AND(E385&gt;5000, L385&lt;&gt;"East"), "High-Value Merchant Day", "Normal Day")</f>
        <v>Normal Day</v>
      </c>
    </row>
    <row r="386" spans="1:13" x14ac:dyDescent="0.3">
      <c r="A386" t="s">
        <v>399</v>
      </c>
      <c r="B386">
        <v>349</v>
      </c>
      <c r="C386">
        <v>9</v>
      </c>
      <c r="D386" s="1">
        <v>46045.629166666666</v>
      </c>
      <c r="E386">
        <v>499</v>
      </c>
      <c r="F386" t="s">
        <v>9</v>
      </c>
      <c r="G386" t="s">
        <v>10</v>
      </c>
      <c r="H386">
        <v>0</v>
      </c>
      <c r="I386" s="2">
        <f>VLOOKUP(B386,users!$A$1:$B$366,2,0)</f>
        <v>45620</v>
      </c>
      <c r="J386" s="3" t="str">
        <f>IFERROR(VLOOKUP(C386, merchants!$A$1:$D$41, 3, FALSE), "Data Missing")</f>
        <v>ecommerce</v>
      </c>
      <c r="K386" s="3" t="str">
        <f>IFERROR(VLOOKUP(C386, merchants!$A$1:$D$41, 4, FALSE), "Data Missing")</f>
        <v>North</v>
      </c>
      <c r="L386" s="7">
        <f>HLOOKUP(F386,payment_method!$A$1:$E$2,2,0)</f>
        <v>1.2E-2</v>
      </c>
      <c r="M386" s="3" t="str">
        <f>IF(AND(E386&gt;5000, L386&lt;&gt;"East"), "High-Value Merchant Day", "Normal Day")</f>
        <v>Normal Day</v>
      </c>
    </row>
    <row r="387" spans="1:13" x14ac:dyDescent="0.3">
      <c r="A387" t="s">
        <v>400</v>
      </c>
      <c r="B387">
        <v>335</v>
      </c>
      <c r="C387">
        <v>31</v>
      </c>
      <c r="D387" s="1">
        <v>46040.226388888892</v>
      </c>
      <c r="E387">
        <v>49</v>
      </c>
      <c r="F387" t="s">
        <v>24</v>
      </c>
      <c r="G387" t="s">
        <v>10</v>
      </c>
      <c r="H387">
        <v>61</v>
      </c>
      <c r="I387" s="2">
        <f>VLOOKUP(B387,users!$A$1:$B$366,2,0)</f>
        <v>45984</v>
      </c>
      <c r="J387" s="3" t="str">
        <f>IFERROR(VLOOKUP(C387, merchants!$A$1:$D$41, 3, FALSE), "Data Missing")</f>
        <v>bill_payment</v>
      </c>
      <c r="K387" s="3" t="str">
        <f>IFERROR(VLOOKUP(C387, merchants!$A$1:$D$41, 4, FALSE), "Data Missing")</f>
        <v>East</v>
      </c>
      <c r="L387" s="7">
        <f>HLOOKUP(F387,payment_method!$A$1:$E$2,2,0)</f>
        <v>0.02</v>
      </c>
      <c r="M387" s="3" t="str">
        <f>IF(AND(E387&gt;5000, L387&lt;&gt;"East"), "High-Value Merchant Day", "Normal Day")</f>
        <v>Normal Day</v>
      </c>
    </row>
    <row r="388" spans="1:13" x14ac:dyDescent="0.3">
      <c r="A388" t="s">
        <v>401</v>
      </c>
      <c r="B388">
        <v>148</v>
      </c>
      <c r="C388">
        <v>21</v>
      </c>
      <c r="D388" s="1">
        <v>46043.283333333333</v>
      </c>
      <c r="E388">
        <v>49</v>
      </c>
      <c r="F388" t="s">
        <v>24</v>
      </c>
      <c r="G388" t="s">
        <v>10</v>
      </c>
      <c r="H388">
        <v>36</v>
      </c>
      <c r="I388" s="2">
        <f>VLOOKUP(B388,users!$A$1:$B$366,2,0)</f>
        <v>45467</v>
      </c>
      <c r="J388" s="3" t="str">
        <f>IFERROR(VLOOKUP(C388, merchants!$A$1:$D$41, 3, FALSE), "Data Missing")</f>
        <v>food_delivery</v>
      </c>
      <c r="K388" s="3" t="str">
        <f>IFERROR(VLOOKUP(C388, merchants!$A$1:$D$41, 4, FALSE), "Data Missing")</f>
        <v>East</v>
      </c>
      <c r="L388" s="7">
        <f>HLOOKUP(F388,payment_method!$A$1:$E$2,2,0)</f>
        <v>0.02</v>
      </c>
      <c r="M388" s="3" t="str">
        <f>IF(AND(E388&gt;5000, L388&lt;&gt;"East"), "High-Value Merchant Day", "Normal Day")</f>
        <v>Normal Day</v>
      </c>
    </row>
    <row r="389" spans="1:13" x14ac:dyDescent="0.3">
      <c r="A389" t="s">
        <v>402</v>
      </c>
      <c r="B389">
        <v>46</v>
      </c>
      <c r="C389">
        <v>37</v>
      </c>
      <c r="D389" s="1">
        <v>46043.081944444442</v>
      </c>
      <c r="E389">
        <v>99</v>
      </c>
      <c r="F389" t="s">
        <v>9</v>
      </c>
      <c r="G389" t="s">
        <v>10</v>
      </c>
      <c r="H389">
        <v>29</v>
      </c>
      <c r="I389" s="2">
        <f>VLOOKUP(B389,users!$A$1:$B$366,2,0)</f>
        <v>45837</v>
      </c>
      <c r="J389" s="3" t="str">
        <f>IFERROR(VLOOKUP(C389, merchants!$A$1:$D$41, 3, FALSE), "Data Missing")</f>
        <v>entertainment</v>
      </c>
      <c r="K389" s="3" t="str">
        <f>IFERROR(VLOOKUP(C389, merchants!$A$1:$D$41, 4, FALSE), "Data Missing")</f>
        <v>South</v>
      </c>
      <c r="L389" s="7">
        <f>HLOOKUP(F389,payment_method!$A$1:$E$2,2,0)</f>
        <v>1.2E-2</v>
      </c>
      <c r="M389" s="3" t="str">
        <f>IF(AND(E389&gt;5000, L389&lt;&gt;"East"), "High-Value Merchant Day", "Normal Day")</f>
        <v>Normal Day</v>
      </c>
    </row>
    <row r="390" spans="1:13" x14ac:dyDescent="0.3">
      <c r="A390" t="s">
        <v>403</v>
      </c>
      <c r="B390">
        <v>20</v>
      </c>
      <c r="C390">
        <v>12</v>
      </c>
      <c r="D390" s="1">
        <v>46040.990277777775</v>
      </c>
      <c r="E390">
        <v>799</v>
      </c>
      <c r="F390" t="s">
        <v>24</v>
      </c>
      <c r="G390" t="s">
        <v>10</v>
      </c>
      <c r="H390">
        <v>53</v>
      </c>
      <c r="I390" s="2">
        <f>VLOOKUP(B390,users!$A$1:$B$366,2,0)</f>
        <v>45671</v>
      </c>
      <c r="J390" s="3" t="str">
        <f>IFERROR(VLOOKUP(C390, merchants!$A$1:$D$41, 3, FALSE), "Data Missing")</f>
        <v>ecommerce</v>
      </c>
      <c r="K390" s="3" t="str">
        <f>IFERROR(VLOOKUP(C390, merchants!$A$1:$D$41, 4, FALSE), "Data Missing")</f>
        <v>East</v>
      </c>
      <c r="L390" s="7">
        <f>HLOOKUP(F390,payment_method!$A$1:$E$2,2,0)</f>
        <v>0.02</v>
      </c>
      <c r="M390" s="3" t="str">
        <f>IF(AND(E390&gt;5000, L390&lt;&gt;"East"), "High-Value Merchant Day", "Normal Day")</f>
        <v>Normal Day</v>
      </c>
    </row>
    <row r="391" spans="1:13" x14ac:dyDescent="0.3">
      <c r="A391" t="s">
        <v>404</v>
      </c>
      <c r="B391">
        <v>19</v>
      </c>
      <c r="C391">
        <v>26</v>
      </c>
      <c r="D391" s="1">
        <v>46051.249305555553</v>
      </c>
      <c r="E391">
        <v>49</v>
      </c>
      <c r="F391" t="s">
        <v>12</v>
      </c>
      <c r="G391" t="s">
        <v>10</v>
      </c>
      <c r="H391">
        <v>100</v>
      </c>
      <c r="I391" s="2">
        <f>VLOOKUP(B391,users!$A$1:$B$366,2,0)</f>
        <v>45413</v>
      </c>
      <c r="J391" s="3" t="str">
        <f>IFERROR(VLOOKUP(C391, merchants!$A$1:$D$41, 3, FALSE), "Data Missing")</f>
        <v>food_delivery</v>
      </c>
      <c r="K391" s="3" t="str">
        <f>IFERROR(VLOOKUP(C391, merchants!$A$1:$D$41, 4, FALSE), "Data Missing")</f>
        <v>East</v>
      </c>
      <c r="L391" s="7">
        <f>HLOOKUP(F391,payment_method!$A$1:$E$2,2,0)</f>
        <v>0</v>
      </c>
      <c r="M391" s="3" t="str">
        <f>IF(AND(E391&gt;5000, L391&lt;&gt;"East"), "High-Value Merchant Day", "Normal Day")</f>
        <v>Normal Day</v>
      </c>
    </row>
    <row r="392" spans="1:13" x14ac:dyDescent="0.3">
      <c r="A392" t="s">
        <v>405</v>
      </c>
      <c r="B392">
        <v>149</v>
      </c>
      <c r="C392">
        <v>3</v>
      </c>
      <c r="D392" s="1">
        <v>46038.249305555553</v>
      </c>
      <c r="E392">
        <v>4999</v>
      </c>
      <c r="F392" t="s">
        <v>9</v>
      </c>
      <c r="G392" t="s">
        <v>10</v>
      </c>
      <c r="H392">
        <v>1</v>
      </c>
      <c r="I392" s="2">
        <f>VLOOKUP(B392,users!$A$1:$B$366,2,0)</f>
        <v>45750</v>
      </c>
      <c r="J392" s="3" t="str">
        <f>IFERROR(VLOOKUP(C392, merchants!$A$1:$D$41, 3, FALSE), "Data Missing")</f>
        <v>grocery</v>
      </c>
      <c r="K392" s="3" t="str">
        <f>IFERROR(VLOOKUP(C392, merchants!$A$1:$D$41, 4, FALSE), "Data Missing")</f>
        <v>East</v>
      </c>
      <c r="L392" s="7">
        <f>HLOOKUP(F392,payment_method!$A$1:$E$2,2,0)</f>
        <v>1.2E-2</v>
      </c>
      <c r="M392" s="3" t="str">
        <f>IF(AND(E392&gt;5000, L392&lt;&gt;"East"), "High-Value Merchant Day", "Normal Day")</f>
        <v>Normal Day</v>
      </c>
    </row>
    <row r="393" spans="1:13" x14ac:dyDescent="0.3">
      <c r="A393" t="s">
        <v>406</v>
      </c>
      <c r="B393">
        <v>55</v>
      </c>
      <c r="C393">
        <v>22</v>
      </c>
      <c r="D393" s="1">
        <v>46032.776388888888</v>
      </c>
      <c r="E393">
        <v>499</v>
      </c>
      <c r="F393" t="s">
        <v>12</v>
      </c>
      <c r="G393" t="s">
        <v>10</v>
      </c>
      <c r="H393">
        <v>36</v>
      </c>
      <c r="I393" s="2">
        <f>VLOOKUP(B393,users!$A$1:$B$366,2,0)</f>
        <v>45383</v>
      </c>
      <c r="J393" s="3" t="str">
        <f>IFERROR(VLOOKUP(C393, merchants!$A$1:$D$41, 3, FALSE), "Data Missing")</f>
        <v>travel</v>
      </c>
      <c r="K393" s="3" t="str">
        <f>IFERROR(VLOOKUP(C393, merchants!$A$1:$D$41, 4, FALSE), "Data Missing")</f>
        <v>South</v>
      </c>
      <c r="L393" s="7">
        <f>HLOOKUP(F393,payment_method!$A$1:$E$2,2,0)</f>
        <v>0</v>
      </c>
      <c r="M393" s="3" t="str">
        <f>IF(AND(E393&gt;5000, L393&lt;&gt;"East"), "High-Value Merchant Day", "Normal Day")</f>
        <v>Normal Day</v>
      </c>
    </row>
    <row r="394" spans="1:13" x14ac:dyDescent="0.3">
      <c r="A394" t="s">
        <v>407</v>
      </c>
      <c r="B394">
        <v>269</v>
      </c>
      <c r="C394">
        <v>32</v>
      </c>
      <c r="D394" s="1">
        <v>46037.856944444444</v>
      </c>
      <c r="E394">
        <v>49</v>
      </c>
      <c r="F394" t="s">
        <v>24</v>
      </c>
      <c r="G394" t="s">
        <v>10</v>
      </c>
      <c r="H394">
        <v>17</v>
      </c>
      <c r="I394" s="2">
        <f>VLOOKUP(B394,users!$A$1:$B$366,2,0)</f>
        <v>45686</v>
      </c>
      <c r="J394" s="3" t="str">
        <f>IFERROR(VLOOKUP(C394, merchants!$A$1:$D$41, 3, FALSE), "Data Missing")</f>
        <v>food_delivery</v>
      </c>
      <c r="K394" s="3" t="str">
        <f>IFERROR(VLOOKUP(C394, merchants!$A$1:$D$41, 4, FALSE), "Data Missing")</f>
        <v>West</v>
      </c>
      <c r="L394" s="7">
        <f>HLOOKUP(F394,payment_method!$A$1:$E$2,2,0)</f>
        <v>0.02</v>
      </c>
      <c r="M394" s="3" t="str">
        <f>IF(AND(E394&gt;5000, L394&lt;&gt;"East"), "High-Value Merchant Day", "Normal Day")</f>
        <v>Normal Day</v>
      </c>
    </row>
    <row r="395" spans="1:13" x14ac:dyDescent="0.3">
      <c r="A395" t="s">
        <v>408</v>
      </c>
      <c r="B395">
        <v>140</v>
      </c>
      <c r="C395">
        <v>13</v>
      </c>
      <c r="D395" s="1">
        <v>46050.686805555553</v>
      </c>
      <c r="E395">
        <v>2999</v>
      </c>
      <c r="F395" t="s">
        <v>12</v>
      </c>
      <c r="G395" t="s">
        <v>10</v>
      </c>
      <c r="H395">
        <v>14</v>
      </c>
      <c r="I395" s="2">
        <f>VLOOKUP(B395,users!$A$1:$B$366,2,0)</f>
        <v>45921</v>
      </c>
      <c r="J395" s="3" t="str">
        <f>IFERROR(VLOOKUP(C395, merchants!$A$1:$D$41, 3, FALSE), "Data Missing")</f>
        <v>travel</v>
      </c>
      <c r="K395" s="3" t="str">
        <f>IFERROR(VLOOKUP(C395, merchants!$A$1:$D$41, 4, FALSE), "Data Missing")</f>
        <v>East</v>
      </c>
      <c r="L395" s="7">
        <f>HLOOKUP(F395,payment_method!$A$1:$E$2,2,0)</f>
        <v>0</v>
      </c>
      <c r="M395" s="3" t="str">
        <f>IF(AND(E395&gt;5000, L395&lt;&gt;"East"), "High-Value Merchant Day", "Normal Day")</f>
        <v>Normal Day</v>
      </c>
    </row>
    <row r="396" spans="1:13" x14ac:dyDescent="0.3">
      <c r="A396" t="s">
        <v>409</v>
      </c>
      <c r="B396">
        <v>235</v>
      </c>
      <c r="C396">
        <v>17</v>
      </c>
      <c r="D396" s="1">
        <v>46033.240277777775</v>
      </c>
      <c r="E396">
        <v>2999</v>
      </c>
      <c r="F396" t="s">
        <v>12</v>
      </c>
      <c r="G396" t="s">
        <v>10</v>
      </c>
      <c r="H396">
        <v>91</v>
      </c>
      <c r="I396" s="2">
        <f>VLOOKUP(B396,users!$A$1:$B$366,2,0)</f>
        <v>45935</v>
      </c>
      <c r="J396" s="3" t="str">
        <f>IFERROR(VLOOKUP(C396, merchants!$A$1:$D$41, 3, FALSE), "Data Missing")</f>
        <v>grocery</v>
      </c>
      <c r="K396" s="3" t="str">
        <f>IFERROR(VLOOKUP(C396, merchants!$A$1:$D$41, 4, FALSE), "Data Missing")</f>
        <v>North</v>
      </c>
      <c r="L396" s="7">
        <f>HLOOKUP(F396,payment_method!$A$1:$E$2,2,0)</f>
        <v>0</v>
      </c>
      <c r="M396" s="3" t="str">
        <f>IF(AND(E396&gt;5000, L396&lt;&gt;"East"), "High-Value Merchant Day", "Normal Day")</f>
        <v>Normal Day</v>
      </c>
    </row>
    <row r="397" spans="1:13" x14ac:dyDescent="0.3">
      <c r="A397" t="s">
        <v>410</v>
      </c>
      <c r="B397">
        <v>173</v>
      </c>
      <c r="C397">
        <v>19</v>
      </c>
      <c r="D397" s="1">
        <v>46028.032638888886</v>
      </c>
      <c r="E397">
        <v>499</v>
      </c>
      <c r="F397" t="s">
        <v>12</v>
      </c>
      <c r="G397" t="s">
        <v>25</v>
      </c>
      <c r="H397">
        <v>72</v>
      </c>
      <c r="I397" s="2">
        <f>VLOOKUP(B397,users!$A$1:$B$366,2,0)</f>
        <v>45324</v>
      </c>
      <c r="J397" s="3" t="str">
        <f>IFERROR(VLOOKUP(C397, merchants!$A$1:$D$41, 3, FALSE), "Data Missing")</f>
        <v>grocery</v>
      </c>
      <c r="K397" s="3" t="str">
        <f>IFERROR(VLOOKUP(C397, merchants!$A$1:$D$41, 4, FALSE), "Data Missing")</f>
        <v>North</v>
      </c>
      <c r="L397" s="7">
        <f>HLOOKUP(F397,payment_method!$A$1:$E$2,2,0)</f>
        <v>0</v>
      </c>
      <c r="M397" s="3" t="str">
        <f>IF(AND(E397&gt;5000, L397&lt;&gt;"East"), "High-Value Merchant Day", "Normal Day")</f>
        <v>Normal Day</v>
      </c>
    </row>
    <row r="398" spans="1:13" x14ac:dyDescent="0.3">
      <c r="A398" t="s">
        <v>411</v>
      </c>
      <c r="B398">
        <v>313</v>
      </c>
      <c r="C398">
        <v>26</v>
      </c>
      <c r="D398" s="1">
        <v>46044.257638888892</v>
      </c>
      <c r="E398">
        <v>499</v>
      </c>
      <c r="F398" t="s">
        <v>12</v>
      </c>
      <c r="G398" t="s">
        <v>10</v>
      </c>
      <c r="H398">
        <v>54</v>
      </c>
      <c r="I398" s="2">
        <f>VLOOKUP(B398,users!$A$1:$B$366,2,0)</f>
        <v>45785</v>
      </c>
      <c r="J398" s="3" t="str">
        <f>IFERROR(VLOOKUP(C398, merchants!$A$1:$D$41, 3, FALSE), "Data Missing")</f>
        <v>food_delivery</v>
      </c>
      <c r="K398" s="3" t="str">
        <f>IFERROR(VLOOKUP(C398, merchants!$A$1:$D$41, 4, FALSE), "Data Missing")</f>
        <v>East</v>
      </c>
      <c r="L398" s="7">
        <f>HLOOKUP(F398,payment_method!$A$1:$E$2,2,0)</f>
        <v>0</v>
      </c>
      <c r="M398" s="3" t="str">
        <f>IF(AND(E398&gt;5000, L398&lt;&gt;"East"), "High-Value Merchant Day", "Normal Day")</f>
        <v>Normal Day</v>
      </c>
    </row>
    <row r="399" spans="1:13" x14ac:dyDescent="0.3">
      <c r="A399" t="s">
        <v>412</v>
      </c>
      <c r="B399">
        <v>206</v>
      </c>
      <c r="C399">
        <v>7</v>
      </c>
      <c r="D399" s="1">
        <v>46039.420138888891</v>
      </c>
      <c r="E399">
        <v>149</v>
      </c>
      <c r="F399" t="s">
        <v>9</v>
      </c>
      <c r="G399" t="s">
        <v>10</v>
      </c>
      <c r="H399">
        <v>23</v>
      </c>
      <c r="I399" s="2">
        <f>VLOOKUP(B399,users!$A$1:$B$366,2,0)</f>
        <v>45583</v>
      </c>
      <c r="J399" s="3" t="str">
        <f>IFERROR(VLOOKUP(C399, merchants!$A$1:$D$41, 3, FALSE), "Data Missing")</f>
        <v>food_delivery</v>
      </c>
      <c r="K399" s="3" t="str">
        <f>IFERROR(VLOOKUP(C399, merchants!$A$1:$D$41, 4, FALSE), "Data Missing")</f>
        <v>East</v>
      </c>
      <c r="L399" s="7">
        <f>HLOOKUP(F399,payment_method!$A$1:$E$2,2,0)</f>
        <v>1.2E-2</v>
      </c>
      <c r="M399" s="3" t="str">
        <f>IF(AND(E399&gt;5000, L399&lt;&gt;"East"), "High-Value Merchant Day", "Normal Day")</f>
        <v>Normal Day</v>
      </c>
    </row>
    <row r="400" spans="1:13" x14ac:dyDescent="0.3">
      <c r="A400" t="s">
        <v>413</v>
      </c>
      <c r="B400">
        <v>128</v>
      </c>
      <c r="C400">
        <v>1</v>
      </c>
      <c r="D400" s="1">
        <v>46027.638888888891</v>
      </c>
      <c r="E400">
        <v>1499</v>
      </c>
      <c r="F400" t="s">
        <v>15</v>
      </c>
      <c r="G400" t="s">
        <v>10</v>
      </c>
      <c r="H400">
        <v>33</v>
      </c>
      <c r="I400" s="2">
        <f>VLOOKUP(B400,users!$A$1:$B$366,2,0)</f>
        <v>45870</v>
      </c>
      <c r="J400" s="3" t="str">
        <f>IFERROR(VLOOKUP(C400, merchants!$A$1:$D$41, 3, FALSE), "Data Missing")</f>
        <v>ecommerce</v>
      </c>
      <c r="K400" s="3" t="str">
        <f>IFERROR(VLOOKUP(C400, merchants!$A$1:$D$41, 4, FALSE), "Data Missing")</f>
        <v>South</v>
      </c>
      <c r="L400" s="7">
        <f>HLOOKUP(F400,payment_method!$A$1:$E$2,2,0)</f>
        <v>1.4999999999999999E-2</v>
      </c>
      <c r="M400" s="3" t="str">
        <f>IF(AND(E400&gt;5000, L400&lt;&gt;"East"), "High-Value Merchant Day", "Normal Day")</f>
        <v>Normal Day</v>
      </c>
    </row>
    <row r="401" spans="1:13" x14ac:dyDescent="0.3">
      <c r="A401" t="s">
        <v>414</v>
      </c>
      <c r="B401">
        <v>137</v>
      </c>
      <c r="C401">
        <v>22</v>
      </c>
      <c r="D401" s="1">
        <v>46035.311111111114</v>
      </c>
      <c r="E401">
        <v>799</v>
      </c>
      <c r="F401" t="s">
        <v>12</v>
      </c>
      <c r="G401" t="s">
        <v>25</v>
      </c>
      <c r="H401">
        <v>38</v>
      </c>
      <c r="I401" s="2">
        <f>VLOOKUP(B401,users!$A$1:$B$366,2,0)</f>
        <v>45391</v>
      </c>
      <c r="J401" s="3" t="str">
        <f>IFERROR(VLOOKUP(C401, merchants!$A$1:$D$41, 3, FALSE), "Data Missing")</f>
        <v>travel</v>
      </c>
      <c r="K401" s="3" t="str">
        <f>IFERROR(VLOOKUP(C401, merchants!$A$1:$D$41, 4, FALSE), "Data Missing")</f>
        <v>South</v>
      </c>
      <c r="L401" s="7">
        <f>HLOOKUP(F401,payment_method!$A$1:$E$2,2,0)</f>
        <v>0</v>
      </c>
      <c r="M401" s="3" t="str">
        <f>IF(AND(E401&gt;5000, L401&lt;&gt;"East"), "High-Value Merchant Day", "Normal Day")</f>
        <v>Normal Day</v>
      </c>
    </row>
    <row r="402" spans="1:13" x14ac:dyDescent="0.3">
      <c r="A402" t="s">
        <v>415</v>
      </c>
      <c r="B402">
        <v>6</v>
      </c>
      <c r="C402">
        <v>17</v>
      </c>
      <c r="D402" s="1">
        <v>46041.98333333333</v>
      </c>
      <c r="E402">
        <v>49</v>
      </c>
      <c r="F402" t="s">
        <v>12</v>
      </c>
      <c r="G402" t="s">
        <v>10</v>
      </c>
      <c r="H402">
        <v>83</v>
      </c>
      <c r="I402" s="2">
        <f>VLOOKUP(B402,users!$A$1:$B$366,2,0)</f>
        <v>45717</v>
      </c>
      <c r="J402" s="3" t="str">
        <f>IFERROR(VLOOKUP(C402, merchants!$A$1:$D$41, 3, FALSE), "Data Missing")</f>
        <v>grocery</v>
      </c>
      <c r="K402" s="3" t="str">
        <f>IFERROR(VLOOKUP(C402, merchants!$A$1:$D$41, 4, FALSE), "Data Missing")</f>
        <v>North</v>
      </c>
      <c r="L402" s="7">
        <f>HLOOKUP(F402,payment_method!$A$1:$E$2,2,0)</f>
        <v>0</v>
      </c>
      <c r="M402" s="3" t="str">
        <f>IF(AND(E402&gt;5000, L402&lt;&gt;"East"), "High-Value Merchant Day", "Normal Day")</f>
        <v>Normal Day</v>
      </c>
    </row>
    <row r="403" spans="1:13" x14ac:dyDescent="0.3">
      <c r="A403" t="s">
        <v>416</v>
      </c>
      <c r="B403">
        <v>32</v>
      </c>
      <c r="C403">
        <v>8</v>
      </c>
      <c r="D403" s="1">
        <v>46034.927083333336</v>
      </c>
      <c r="E403">
        <v>299</v>
      </c>
      <c r="F403" t="s">
        <v>24</v>
      </c>
      <c r="G403" t="s">
        <v>10</v>
      </c>
      <c r="H403">
        <v>59</v>
      </c>
      <c r="I403" s="2">
        <f>VLOOKUP(B403,users!$A$1:$B$366,2,0)</f>
        <v>45442</v>
      </c>
      <c r="J403" s="3" t="str">
        <f>IFERROR(VLOOKUP(C403, merchants!$A$1:$D$41, 3, FALSE), "Data Missing")</f>
        <v>food_delivery</v>
      </c>
      <c r="K403" s="3" t="str">
        <f>IFERROR(VLOOKUP(C403, merchants!$A$1:$D$41, 4, FALSE), "Data Missing")</f>
        <v>North</v>
      </c>
      <c r="L403" s="7">
        <f>HLOOKUP(F403,payment_method!$A$1:$E$2,2,0)</f>
        <v>0.02</v>
      </c>
      <c r="M403" s="3" t="str">
        <f>IF(AND(E403&gt;5000, L403&lt;&gt;"East"), "High-Value Merchant Day", "Normal Day")</f>
        <v>Normal Day</v>
      </c>
    </row>
    <row r="404" spans="1:13" x14ac:dyDescent="0.3">
      <c r="A404" t="s">
        <v>417</v>
      </c>
      <c r="B404">
        <v>258</v>
      </c>
      <c r="C404">
        <v>20</v>
      </c>
      <c r="D404" s="1">
        <v>46032.225694444445</v>
      </c>
      <c r="E404">
        <v>149</v>
      </c>
      <c r="F404" t="s">
        <v>12</v>
      </c>
      <c r="G404" t="s">
        <v>10</v>
      </c>
      <c r="H404">
        <v>88</v>
      </c>
      <c r="I404" s="2">
        <f>VLOOKUP(B404,users!$A$1:$B$366,2,0)</f>
        <v>45670</v>
      </c>
      <c r="J404" s="3" t="str">
        <f>IFERROR(VLOOKUP(C404, merchants!$A$1:$D$41, 3, FALSE), "Data Missing")</f>
        <v>food_delivery</v>
      </c>
      <c r="K404" s="3" t="str">
        <f>IFERROR(VLOOKUP(C404, merchants!$A$1:$D$41, 4, FALSE), "Data Missing")</f>
        <v>East</v>
      </c>
      <c r="L404" s="7">
        <f>HLOOKUP(F404,payment_method!$A$1:$E$2,2,0)</f>
        <v>0</v>
      </c>
      <c r="M404" s="3" t="str">
        <f>IF(AND(E404&gt;5000, L404&lt;&gt;"East"), "High-Value Merchant Day", "Normal Day")</f>
        <v>Normal Day</v>
      </c>
    </row>
    <row r="405" spans="1:13" x14ac:dyDescent="0.3">
      <c r="A405" t="s">
        <v>418</v>
      </c>
      <c r="B405">
        <v>152</v>
      </c>
      <c r="C405">
        <v>24</v>
      </c>
      <c r="D405" s="1">
        <v>46026.873611111114</v>
      </c>
      <c r="E405">
        <v>149</v>
      </c>
      <c r="F405" t="s">
        <v>12</v>
      </c>
      <c r="G405" t="s">
        <v>38</v>
      </c>
      <c r="H405">
        <v>78</v>
      </c>
      <c r="I405" s="2">
        <f>VLOOKUP(B405,users!$A$1:$B$366,2,0)</f>
        <v>45496</v>
      </c>
      <c r="J405" s="3" t="str">
        <f>IFERROR(VLOOKUP(C405, merchants!$A$1:$D$41, 3, FALSE), "Data Missing")</f>
        <v>grocery</v>
      </c>
      <c r="K405" s="3" t="str">
        <f>IFERROR(VLOOKUP(C405, merchants!$A$1:$D$41, 4, FALSE), "Data Missing")</f>
        <v>North</v>
      </c>
      <c r="L405" s="7">
        <f>HLOOKUP(F405,payment_method!$A$1:$E$2,2,0)</f>
        <v>0</v>
      </c>
      <c r="M405" s="3" t="str">
        <f>IF(AND(E405&gt;5000, L405&lt;&gt;"East"), "High-Value Merchant Day", "Normal Day")</f>
        <v>Normal Day</v>
      </c>
    </row>
    <row r="406" spans="1:13" x14ac:dyDescent="0.3">
      <c r="A406" t="s">
        <v>419</v>
      </c>
      <c r="B406">
        <v>245</v>
      </c>
      <c r="C406">
        <v>10</v>
      </c>
      <c r="D406" s="1">
        <v>46030.297222222223</v>
      </c>
      <c r="E406">
        <v>799</v>
      </c>
      <c r="F406" t="s">
        <v>9</v>
      </c>
      <c r="G406" t="s">
        <v>10</v>
      </c>
      <c r="H406">
        <v>58</v>
      </c>
      <c r="I406" s="2">
        <f>VLOOKUP(B406,users!$A$1:$B$366,2,0)</f>
        <v>45871</v>
      </c>
      <c r="J406" s="3" t="str">
        <f>IFERROR(VLOOKUP(C406, merchants!$A$1:$D$41, 3, FALSE), "Data Missing")</f>
        <v>grocery</v>
      </c>
      <c r="K406" s="3" t="str">
        <f>IFERROR(VLOOKUP(C406, merchants!$A$1:$D$41, 4, FALSE), "Data Missing")</f>
        <v>West</v>
      </c>
      <c r="L406" s="7">
        <f>HLOOKUP(F406,payment_method!$A$1:$E$2,2,0)</f>
        <v>1.2E-2</v>
      </c>
      <c r="M406" s="3" t="str">
        <f>IF(AND(E406&gt;5000, L406&lt;&gt;"East"), "High-Value Merchant Day", "Normal Day")</f>
        <v>Normal Day</v>
      </c>
    </row>
    <row r="407" spans="1:13" x14ac:dyDescent="0.3">
      <c r="A407" t="s">
        <v>420</v>
      </c>
      <c r="B407">
        <v>213</v>
      </c>
      <c r="C407">
        <v>36</v>
      </c>
      <c r="D407" s="1">
        <v>46046.807638888888</v>
      </c>
      <c r="E407">
        <v>49</v>
      </c>
      <c r="F407" t="s">
        <v>9</v>
      </c>
      <c r="G407" t="s">
        <v>10</v>
      </c>
      <c r="H407">
        <v>60</v>
      </c>
      <c r="I407" s="2">
        <f>VLOOKUP(B407,users!$A$1:$B$366,2,0)</f>
        <v>45528</v>
      </c>
      <c r="J407" s="3" t="str">
        <f>IFERROR(VLOOKUP(C407, merchants!$A$1:$D$41, 3, FALSE), "Data Missing")</f>
        <v>entertainment</v>
      </c>
      <c r="K407" s="3" t="str">
        <f>IFERROR(VLOOKUP(C407, merchants!$A$1:$D$41, 4, FALSE), "Data Missing")</f>
        <v>East</v>
      </c>
      <c r="L407" s="7">
        <f>HLOOKUP(F407,payment_method!$A$1:$E$2,2,0)</f>
        <v>1.2E-2</v>
      </c>
      <c r="M407" s="3" t="str">
        <f>IF(AND(E407&gt;5000, L407&lt;&gt;"East"), "High-Value Merchant Day", "Normal Day")</f>
        <v>Normal Day</v>
      </c>
    </row>
    <row r="408" spans="1:13" x14ac:dyDescent="0.3">
      <c r="A408" t="s">
        <v>421</v>
      </c>
      <c r="B408">
        <v>341</v>
      </c>
      <c r="C408">
        <v>14</v>
      </c>
      <c r="D408" s="1">
        <v>46047.743750000001</v>
      </c>
      <c r="E408">
        <v>99</v>
      </c>
      <c r="F408" t="s">
        <v>15</v>
      </c>
      <c r="G408" t="s">
        <v>10</v>
      </c>
      <c r="H408">
        <v>97</v>
      </c>
      <c r="I408" s="2">
        <f>VLOOKUP(B408,users!$A$1:$B$366,2,0)</f>
        <v>45615</v>
      </c>
      <c r="J408" s="3" t="str">
        <f>IFERROR(VLOOKUP(C408, merchants!$A$1:$D$41, 3, FALSE), "Data Missing")</f>
        <v>grocery</v>
      </c>
      <c r="K408" s="3" t="str">
        <f>IFERROR(VLOOKUP(C408, merchants!$A$1:$D$41, 4, FALSE), "Data Missing")</f>
        <v>East</v>
      </c>
      <c r="L408" s="7">
        <f>HLOOKUP(F408,payment_method!$A$1:$E$2,2,0)</f>
        <v>1.4999999999999999E-2</v>
      </c>
      <c r="M408" s="3" t="str">
        <f>IF(AND(E408&gt;5000, L408&lt;&gt;"East"), "High-Value Merchant Day", "Normal Day")</f>
        <v>Normal Day</v>
      </c>
    </row>
    <row r="409" spans="1:13" x14ac:dyDescent="0.3">
      <c r="A409" t="s">
        <v>422</v>
      </c>
      <c r="B409">
        <v>306</v>
      </c>
      <c r="C409">
        <v>6</v>
      </c>
      <c r="D409" s="1">
        <v>46030.908333333333</v>
      </c>
      <c r="E409">
        <v>149</v>
      </c>
      <c r="F409" t="s">
        <v>15</v>
      </c>
      <c r="G409" t="s">
        <v>10</v>
      </c>
      <c r="H409">
        <v>67</v>
      </c>
      <c r="I409" s="2">
        <f>VLOOKUP(B409,users!$A$1:$B$366,2,0)</f>
        <v>45427</v>
      </c>
      <c r="J409" s="3" t="str">
        <f>IFERROR(VLOOKUP(C409, merchants!$A$1:$D$41, 3, FALSE), "Data Missing")</f>
        <v>food_delivery</v>
      </c>
      <c r="K409" s="3" t="str">
        <f>IFERROR(VLOOKUP(C409, merchants!$A$1:$D$41, 4, FALSE), "Data Missing")</f>
        <v>South</v>
      </c>
      <c r="L409" s="7">
        <f>HLOOKUP(F409,payment_method!$A$1:$E$2,2,0)</f>
        <v>1.4999999999999999E-2</v>
      </c>
      <c r="M409" s="3" t="str">
        <f>IF(AND(E409&gt;5000, L409&lt;&gt;"East"), "High-Value Merchant Day", "Normal Day")</f>
        <v>Normal Day</v>
      </c>
    </row>
    <row r="410" spans="1:13" x14ac:dyDescent="0.3">
      <c r="A410" t="s">
        <v>423</v>
      </c>
      <c r="B410">
        <v>186</v>
      </c>
      <c r="C410">
        <v>5</v>
      </c>
      <c r="D410" s="1">
        <v>46037.697916666664</v>
      </c>
      <c r="E410">
        <v>499</v>
      </c>
      <c r="F410" t="s">
        <v>12</v>
      </c>
      <c r="G410" t="s">
        <v>10</v>
      </c>
      <c r="H410">
        <v>72</v>
      </c>
      <c r="I410" s="2">
        <f>VLOOKUP(B410,users!$A$1:$B$366,2,0)</f>
        <v>45561</v>
      </c>
      <c r="J410" s="3" t="str">
        <f>IFERROR(VLOOKUP(C410, merchants!$A$1:$D$41, 3, FALSE), "Data Missing")</f>
        <v>recharge</v>
      </c>
      <c r="K410" s="3" t="str">
        <f>IFERROR(VLOOKUP(C410, merchants!$A$1:$D$41, 4, FALSE), "Data Missing")</f>
        <v>South</v>
      </c>
      <c r="L410" s="7">
        <f>HLOOKUP(F410,payment_method!$A$1:$E$2,2,0)</f>
        <v>0</v>
      </c>
      <c r="M410" s="3" t="str">
        <f>IF(AND(E410&gt;5000, L410&lt;&gt;"East"), "High-Value Merchant Day", "Normal Day")</f>
        <v>Normal Day</v>
      </c>
    </row>
    <row r="411" spans="1:13" x14ac:dyDescent="0.3">
      <c r="A411" t="s">
        <v>424</v>
      </c>
      <c r="B411">
        <v>281</v>
      </c>
      <c r="C411">
        <v>33</v>
      </c>
      <c r="D411" s="1">
        <v>46026.078472222223</v>
      </c>
      <c r="E411">
        <v>4999</v>
      </c>
      <c r="F411" t="s">
        <v>12</v>
      </c>
      <c r="G411" t="s">
        <v>10</v>
      </c>
      <c r="H411">
        <v>25</v>
      </c>
      <c r="I411" s="2">
        <f>VLOOKUP(B411,users!$A$1:$B$366,2,0)</f>
        <v>45475</v>
      </c>
      <c r="J411" s="3" t="str">
        <f>IFERROR(VLOOKUP(C411, merchants!$A$1:$D$41, 3, FALSE), "Data Missing")</f>
        <v>bill_payment</v>
      </c>
      <c r="K411" s="3" t="str">
        <f>IFERROR(VLOOKUP(C411, merchants!$A$1:$D$41, 4, FALSE), "Data Missing")</f>
        <v>East</v>
      </c>
      <c r="L411" s="7">
        <f>HLOOKUP(F411,payment_method!$A$1:$E$2,2,0)</f>
        <v>0</v>
      </c>
      <c r="M411" s="3" t="str">
        <f>IF(AND(E411&gt;5000, L411&lt;&gt;"East"), "High-Value Merchant Day", "Normal Day")</f>
        <v>Normal Day</v>
      </c>
    </row>
    <row r="412" spans="1:13" x14ac:dyDescent="0.3">
      <c r="A412" t="s">
        <v>425</v>
      </c>
      <c r="B412">
        <v>85</v>
      </c>
      <c r="C412">
        <v>21</v>
      </c>
      <c r="D412" s="1">
        <v>46041.714583333334</v>
      </c>
      <c r="E412">
        <v>99</v>
      </c>
      <c r="F412" t="s">
        <v>12</v>
      </c>
      <c r="G412" t="s">
        <v>10</v>
      </c>
      <c r="H412">
        <v>66</v>
      </c>
      <c r="I412" s="2">
        <f>VLOOKUP(B412,users!$A$1:$B$366,2,0)</f>
        <v>45837</v>
      </c>
      <c r="J412" s="3" t="str">
        <f>IFERROR(VLOOKUP(C412, merchants!$A$1:$D$41, 3, FALSE), "Data Missing")</f>
        <v>food_delivery</v>
      </c>
      <c r="K412" s="3" t="str">
        <f>IFERROR(VLOOKUP(C412, merchants!$A$1:$D$41, 4, FALSE), "Data Missing")</f>
        <v>East</v>
      </c>
      <c r="L412" s="7">
        <f>HLOOKUP(F412,payment_method!$A$1:$E$2,2,0)</f>
        <v>0</v>
      </c>
      <c r="M412" s="3" t="str">
        <f>IF(AND(E412&gt;5000, L412&lt;&gt;"East"), "High-Value Merchant Day", "Normal Day")</f>
        <v>Normal Day</v>
      </c>
    </row>
    <row r="413" spans="1:13" x14ac:dyDescent="0.3">
      <c r="A413" t="s">
        <v>426</v>
      </c>
      <c r="B413">
        <v>106</v>
      </c>
      <c r="C413">
        <v>38</v>
      </c>
      <c r="D413" s="1">
        <v>46037.154861111114</v>
      </c>
      <c r="E413">
        <v>499</v>
      </c>
      <c r="F413" t="s">
        <v>12</v>
      </c>
      <c r="G413" t="s">
        <v>10</v>
      </c>
      <c r="H413">
        <v>62</v>
      </c>
      <c r="I413" s="2">
        <f>VLOOKUP(B413,users!$A$1:$B$366,2,0)</f>
        <v>45448</v>
      </c>
      <c r="J413" s="3" t="str">
        <f>IFERROR(VLOOKUP(C413, merchants!$A$1:$D$41, 3, FALSE), "Data Missing")</f>
        <v>grocery</v>
      </c>
      <c r="K413" s="3" t="str">
        <f>IFERROR(VLOOKUP(C413, merchants!$A$1:$D$41, 4, FALSE), "Data Missing")</f>
        <v>East</v>
      </c>
      <c r="L413" s="7">
        <f>HLOOKUP(F413,payment_method!$A$1:$E$2,2,0)</f>
        <v>0</v>
      </c>
      <c r="M413" s="3" t="str">
        <f>IF(AND(E413&gt;5000, L413&lt;&gt;"East"), "High-Value Merchant Day", "Normal Day")</f>
        <v>Normal Day</v>
      </c>
    </row>
    <row r="414" spans="1:13" x14ac:dyDescent="0.3">
      <c r="A414" t="s">
        <v>427</v>
      </c>
      <c r="B414">
        <v>29</v>
      </c>
      <c r="C414">
        <v>30</v>
      </c>
      <c r="D414" s="1">
        <v>46025.686111111114</v>
      </c>
      <c r="E414">
        <v>149</v>
      </c>
      <c r="F414" t="s">
        <v>15</v>
      </c>
      <c r="G414" t="s">
        <v>10</v>
      </c>
      <c r="H414">
        <v>16</v>
      </c>
      <c r="I414" s="2">
        <f>VLOOKUP(B414,users!$A$1:$B$366,2,0)</f>
        <v>45851</v>
      </c>
      <c r="J414" s="3" t="str">
        <f>IFERROR(VLOOKUP(C414, merchants!$A$1:$D$41, 3, FALSE), "Data Missing")</f>
        <v>travel</v>
      </c>
      <c r="K414" s="3" t="str">
        <f>IFERROR(VLOOKUP(C414, merchants!$A$1:$D$41, 4, FALSE), "Data Missing")</f>
        <v>West</v>
      </c>
      <c r="L414" s="7">
        <f>HLOOKUP(F414,payment_method!$A$1:$E$2,2,0)</f>
        <v>1.4999999999999999E-2</v>
      </c>
      <c r="M414" s="3" t="str">
        <f>IF(AND(E414&gt;5000, L414&lt;&gt;"East"), "High-Value Merchant Day", "Normal Day")</f>
        <v>Normal Day</v>
      </c>
    </row>
    <row r="415" spans="1:13" x14ac:dyDescent="0.3">
      <c r="A415" t="s">
        <v>428</v>
      </c>
      <c r="B415">
        <v>289</v>
      </c>
      <c r="C415">
        <v>4</v>
      </c>
      <c r="D415" s="1">
        <v>46039.561805555553</v>
      </c>
      <c r="E415">
        <v>1499</v>
      </c>
      <c r="F415" t="s">
        <v>24</v>
      </c>
      <c r="G415" t="s">
        <v>10</v>
      </c>
      <c r="H415">
        <v>71</v>
      </c>
      <c r="I415" s="2">
        <f>VLOOKUP(B415,users!$A$1:$B$366,2,0)</f>
        <v>45832</v>
      </c>
      <c r="J415" s="3" t="str">
        <f>IFERROR(VLOOKUP(C415, merchants!$A$1:$D$41, 3, FALSE), "Data Missing")</f>
        <v>ecommerce</v>
      </c>
      <c r="K415" s="3" t="str">
        <f>IFERROR(VLOOKUP(C415, merchants!$A$1:$D$41, 4, FALSE), "Data Missing")</f>
        <v>East</v>
      </c>
      <c r="L415" s="7">
        <f>HLOOKUP(F415,payment_method!$A$1:$E$2,2,0)</f>
        <v>0.02</v>
      </c>
      <c r="M415" s="3" t="str">
        <f>IF(AND(E415&gt;5000, L415&lt;&gt;"East"), "High-Value Merchant Day", "Normal Day")</f>
        <v>Normal Day</v>
      </c>
    </row>
    <row r="416" spans="1:13" x14ac:dyDescent="0.3">
      <c r="A416" t="s">
        <v>429</v>
      </c>
      <c r="B416">
        <v>158</v>
      </c>
      <c r="C416">
        <v>2</v>
      </c>
      <c r="D416" s="1">
        <v>46037.910416666666</v>
      </c>
      <c r="E416">
        <v>1499</v>
      </c>
      <c r="F416" t="s">
        <v>24</v>
      </c>
      <c r="G416" t="s">
        <v>10</v>
      </c>
      <c r="H416">
        <v>50</v>
      </c>
      <c r="I416" s="2">
        <f>VLOOKUP(B416,users!$A$1:$B$366,2,0)</f>
        <v>45509</v>
      </c>
      <c r="J416" s="3" t="str">
        <f>IFERROR(VLOOKUP(C416, merchants!$A$1:$D$41, 3, FALSE), "Data Missing")</f>
        <v>grocery</v>
      </c>
      <c r="K416" s="3" t="str">
        <f>IFERROR(VLOOKUP(C416, merchants!$A$1:$D$41, 4, FALSE), "Data Missing")</f>
        <v>West</v>
      </c>
      <c r="L416" s="7">
        <f>HLOOKUP(F416,payment_method!$A$1:$E$2,2,0)</f>
        <v>0.02</v>
      </c>
      <c r="M416" s="3" t="str">
        <f>IF(AND(E416&gt;5000, L416&lt;&gt;"East"), "High-Value Merchant Day", "Normal Day")</f>
        <v>Normal Day</v>
      </c>
    </row>
    <row r="417" spans="1:13" x14ac:dyDescent="0.3">
      <c r="A417" t="s">
        <v>430</v>
      </c>
      <c r="B417">
        <v>112</v>
      </c>
      <c r="C417">
        <v>38</v>
      </c>
      <c r="D417" s="1">
        <v>46031.032638888886</v>
      </c>
      <c r="E417">
        <v>49</v>
      </c>
      <c r="F417" t="s">
        <v>12</v>
      </c>
      <c r="G417" t="s">
        <v>10</v>
      </c>
      <c r="H417">
        <v>9</v>
      </c>
      <c r="I417" s="2">
        <f>VLOOKUP(B417,users!$A$1:$B$366,2,0)</f>
        <v>45824</v>
      </c>
      <c r="J417" s="3" t="str">
        <f>IFERROR(VLOOKUP(C417, merchants!$A$1:$D$41, 3, FALSE), "Data Missing")</f>
        <v>grocery</v>
      </c>
      <c r="K417" s="3" t="str">
        <f>IFERROR(VLOOKUP(C417, merchants!$A$1:$D$41, 4, FALSE), "Data Missing")</f>
        <v>East</v>
      </c>
      <c r="L417" s="7">
        <f>HLOOKUP(F417,payment_method!$A$1:$E$2,2,0)</f>
        <v>0</v>
      </c>
      <c r="M417" s="3" t="str">
        <f>IF(AND(E417&gt;5000, L417&lt;&gt;"East"), "High-Value Merchant Day", "Normal Day")</f>
        <v>Normal Day</v>
      </c>
    </row>
    <row r="418" spans="1:13" x14ac:dyDescent="0.3">
      <c r="A418" t="s">
        <v>431</v>
      </c>
      <c r="B418">
        <v>33</v>
      </c>
      <c r="C418">
        <v>35</v>
      </c>
      <c r="D418" s="1">
        <v>46024.556944444441</v>
      </c>
      <c r="E418">
        <v>299</v>
      </c>
      <c r="F418" t="s">
        <v>24</v>
      </c>
      <c r="G418" t="s">
        <v>25</v>
      </c>
      <c r="H418">
        <v>7</v>
      </c>
      <c r="I418" s="2">
        <f>VLOOKUP(B418,users!$A$1:$B$366,2,0)</f>
        <v>45724</v>
      </c>
      <c r="J418" s="3" t="str">
        <f>IFERROR(VLOOKUP(C418, merchants!$A$1:$D$41, 3, FALSE), "Data Missing")</f>
        <v>recharge</v>
      </c>
      <c r="K418" s="3" t="str">
        <f>IFERROR(VLOOKUP(C418, merchants!$A$1:$D$41, 4, FALSE), "Data Missing")</f>
        <v>East</v>
      </c>
      <c r="L418" s="7">
        <f>HLOOKUP(F418,payment_method!$A$1:$E$2,2,0)</f>
        <v>0.02</v>
      </c>
      <c r="M418" s="3" t="str">
        <f>IF(AND(E418&gt;5000, L418&lt;&gt;"East"), "High-Value Merchant Day", "Normal Day")</f>
        <v>Normal Day</v>
      </c>
    </row>
    <row r="419" spans="1:13" x14ac:dyDescent="0.3">
      <c r="A419" t="s">
        <v>432</v>
      </c>
      <c r="B419">
        <v>242</v>
      </c>
      <c r="C419">
        <v>3</v>
      </c>
      <c r="D419" s="1">
        <v>46052.124305555553</v>
      </c>
      <c r="E419">
        <v>49</v>
      </c>
      <c r="F419" t="s">
        <v>12</v>
      </c>
      <c r="G419" t="s">
        <v>10</v>
      </c>
      <c r="H419">
        <v>36</v>
      </c>
      <c r="I419" s="2">
        <f>VLOOKUP(B419,users!$A$1:$B$366,2,0)</f>
        <v>45302</v>
      </c>
      <c r="J419" s="3" t="str">
        <f>IFERROR(VLOOKUP(C419, merchants!$A$1:$D$41, 3, FALSE), "Data Missing")</f>
        <v>grocery</v>
      </c>
      <c r="K419" s="3" t="str">
        <f>IFERROR(VLOOKUP(C419, merchants!$A$1:$D$41, 4, FALSE), "Data Missing")</f>
        <v>East</v>
      </c>
      <c r="L419" s="7">
        <f>HLOOKUP(F419,payment_method!$A$1:$E$2,2,0)</f>
        <v>0</v>
      </c>
      <c r="M419" s="3" t="str">
        <f>IF(AND(E419&gt;5000, L419&lt;&gt;"East"), "High-Value Merchant Day", "Normal Day")</f>
        <v>Normal Day</v>
      </c>
    </row>
    <row r="420" spans="1:13" x14ac:dyDescent="0.3">
      <c r="A420" t="s">
        <v>433</v>
      </c>
      <c r="B420">
        <v>70</v>
      </c>
      <c r="C420">
        <v>27</v>
      </c>
      <c r="D420" s="1">
        <v>46036.242361111108</v>
      </c>
      <c r="E420">
        <v>149</v>
      </c>
      <c r="F420" t="s">
        <v>12</v>
      </c>
      <c r="G420" t="s">
        <v>10</v>
      </c>
      <c r="H420">
        <v>47</v>
      </c>
      <c r="I420" s="2">
        <f>VLOOKUP(B420,users!$A$1:$B$366,2,0)</f>
        <v>45548</v>
      </c>
      <c r="J420" s="3" t="str">
        <f>IFERROR(VLOOKUP(C420, merchants!$A$1:$D$41, 3, FALSE), "Data Missing")</f>
        <v>ecommerce</v>
      </c>
      <c r="K420" s="3" t="str">
        <f>IFERROR(VLOOKUP(C420, merchants!$A$1:$D$41, 4, FALSE), "Data Missing")</f>
        <v>North</v>
      </c>
      <c r="L420" s="7">
        <f>HLOOKUP(F420,payment_method!$A$1:$E$2,2,0)</f>
        <v>0</v>
      </c>
      <c r="M420" s="3" t="str">
        <f>IF(AND(E420&gt;5000, L420&lt;&gt;"East"), "High-Value Merchant Day", "Normal Day")</f>
        <v>Normal Day</v>
      </c>
    </row>
    <row r="421" spans="1:13" x14ac:dyDescent="0.3">
      <c r="A421" t="s">
        <v>434</v>
      </c>
      <c r="B421">
        <v>194</v>
      </c>
      <c r="C421">
        <v>25</v>
      </c>
      <c r="D421" s="1">
        <v>46051.519444444442</v>
      </c>
      <c r="E421">
        <v>49</v>
      </c>
      <c r="F421" t="s">
        <v>9</v>
      </c>
      <c r="G421" t="s">
        <v>10</v>
      </c>
      <c r="H421">
        <v>10</v>
      </c>
      <c r="I421" s="2">
        <f>VLOOKUP(B421,users!$A$1:$B$366,2,0)</f>
        <v>45893</v>
      </c>
      <c r="J421" s="3" t="str">
        <f>IFERROR(VLOOKUP(C421, merchants!$A$1:$D$41, 3, FALSE), "Data Missing")</f>
        <v>travel</v>
      </c>
      <c r="K421" s="3" t="str">
        <f>IFERROR(VLOOKUP(C421, merchants!$A$1:$D$41, 4, FALSE), "Data Missing")</f>
        <v>South</v>
      </c>
      <c r="L421" s="7">
        <f>HLOOKUP(F421,payment_method!$A$1:$E$2,2,0)</f>
        <v>1.2E-2</v>
      </c>
      <c r="M421" s="3" t="str">
        <f>IF(AND(E421&gt;5000, L421&lt;&gt;"East"), "High-Value Merchant Day", "Normal Day")</f>
        <v>Normal Day</v>
      </c>
    </row>
    <row r="422" spans="1:13" x14ac:dyDescent="0.3">
      <c r="A422" t="s">
        <v>435</v>
      </c>
      <c r="B422">
        <v>277</v>
      </c>
      <c r="C422">
        <v>9</v>
      </c>
      <c r="D422" s="1">
        <v>46044.913194444445</v>
      </c>
      <c r="E422">
        <v>799</v>
      </c>
      <c r="F422" t="s">
        <v>12</v>
      </c>
      <c r="G422" t="s">
        <v>10</v>
      </c>
      <c r="H422">
        <v>83</v>
      </c>
      <c r="I422" s="2">
        <f>VLOOKUP(B422,users!$A$1:$B$366,2,0)</f>
        <v>45891</v>
      </c>
      <c r="J422" s="3" t="str">
        <f>IFERROR(VLOOKUP(C422, merchants!$A$1:$D$41, 3, FALSE), "Data Missing")</f>
        <v>ecommerce</v>
      </c>
      <c r="K422" s="3" t="str">
        <f>IFERROR(VLOOKUP(C422, merchants!$A$1:$D$41, 4, FALSE), "Data Missing")</f>
        <v>North</v>
      </c>
      <c r="L422" s="7">
        <f>HLOOKUP(F422,payment_method!$A$1:$E$2,2,0)</f>
        <v>0</v>
      </c>
      <c r="M422" s="3" t="str">
        <f>IF(AND(E422&gt;5000, L422&lt;&gt;"East"), "High-Value Merchant Day", "Normal Day")</f>
        <v>Normal Day</v>
      </c>
    </row>
    <row r="423" spans="1:13" x14ac:dyDescent="0.3">
      <c r="A423" t="s">
        <v>436</v>
      </c>
      <c r="B423">
        <v>92</v>
      </c>
      <c r="C423">
        <v>35</v>
      </c>
      <c r="D423" s="1">
        <v>46050.463194444441</v>
      </c>
      <c r="E423">
        <v>49</v>
      </c>
      <c r="F423" t="s">
        <v>12</v>
      </c>
      <c r="G423" t="s">
        <v>10</v>
      </c>
      <c r="H423">
        <v>50</v>
      </c>
      <c r="I423" s="2">
        <f>VLOOKUP(B423,users!$A$1:$B$366,2,0)</f>
        <v>45662</v>
      </c>
      <c r="J423" s="3" t="str">
        <f>IFERROR(VLOOKUP(C423, merchants!$A$1:$D$41, 3, FALSE), "Data Missing")</f>
        <v>recharge</v>
      </c>
      <c r="K423" s="3" t="str">
        <f>IFERROR(VLOOKUP(C423, merchants!$A$1:$D$41, 4, FALSE), "Data Missing")</f>
        <v>East</v>
      </c>
      <c r="L423" s="7">
        <f>HLOOKUP(F423,payment_method!$A$1:$E$2,2,0)</f>
        <v>0</v>
      </c>
      <c r="M423" s="3" t="str">
        <f>IF(AND(E423&gt;5000, L423&lt;&gt;"East"), "High-Value Merchant Day", "Normal Day")</f>
        <v>Normal Day</v>
      </c>
    </row>
    <row r="424" spans="1:13" x14ac:dyDescent="0.3">
      <c r="A424" t="s">
        <v>437</v>
      </c>
      <c r="B424">
        <v>115</v>
      </c>
      <c r="C424">
        <v>1</v>
      </c>
      <c r="D424" s="1">
        <v>46039.198611111111</v>
      </c>
      <c r="E424">
        <v>149</v>
      </c>
      <c r="F424" t="s">
        <v>9</v>
      </c>
      <c r="G424" t="s">
        <v>10</v>
      </c>
      <c r="H424">
        <v>96</v>
      </c>
      <c r="I424" s="2">
        <f>VLOOKUP(B424,users!$A$1:$B$366,2,0)</f>
        <v>45372</v>
      </c>
      <c r="J424" s="3" t="str">
        <f>IFERROR(VLOOKUP(C424, merchants!$A$1:$D$41, 3, FALSE), "Data Missing")</f>
        <v>ecommerce</v>
      </c>
      <c r="K424" s="3" t="str">
        <f>IFERROR(VLOOKUP(C424, merchants!$A$1:$D$41, 4, FALSE), "Data Missing")</f>
        <v>South</v>
      </c>
      <c r="L424" s="7">
        <f>HLOOKUP(F424,payment_method!$A$1:$E$2,2,0)</f>
        <v>1.2E-2</v>
      </c>
      <c r="M424" s="3" t="str">
        <f>IF(AND(E424&gt;5000, L424&lt;&gt;"East"), "High-Value Merchant Day", "Normal Day")</f>
        <v>Normal Day</v>
      </c>
    </row>
    <row r="425" spans="1:13" x14ac:dyDescent="0.3">
      <c r="A425" t="s">
        <v>438</v>
      </c>
      <c r="B425">
        <v>345</v>
      </c>
      <c r="C425">
        <v>35</v>
      </c>
      <c r="D425" s="1">
        <v>46023.395138888889</v>
      </c>
      <c r="E425">
        <v>499</v>
      </c>
      <c r="F425" t="s">
        <v>24</v>
      </c>
      <c r="G425" t="s">
        <v>10</v>
      </c>
      <c r="H425">
        <v>54</v>
      </c>
      <c r="I425" s="2">
        <f>VLOOKUP(B425,users!$A$1:$B$366,2,0)</f>
        <v>45553</v>
      </c>
      <c r="J425" s="3" t="str">
        <f>IFERROR(VLOOKUP(C425, merchants!$A$1:$D$41, 3, FALSE), "Data Missing")</f>
        <v>recharge</v>
      </c>
      <c r="K425" s="3" t="str">
        <f>IFERROR(VLOOKUP(C425, merchants!$A$1:$D$41, 4, FALSE), "Data Missing")</f>
        <v>East</v>
      </c>
      <c r="L425" s="7">
        <f>HLOOKUP(F425,payment_method!$A$1:$E$2,2,0)</f>
        <v>0.02</v>
      </c>
      <c r="M425" s="3" t="str">
        <f>IF(AND(E425&gt;5000, L425&lt;&gt;"East"), "High-Value Merchant Day", "Normal Day")</f>
        <v>Normal Day</v>
      </c>
    </row>
    <row r="426" spans="1:13" x14ac:dyDescent="0.3">
      <c r="A426" t="s">
        <v>439</v>
      </c>
      <c r="B426">
        <v>118</v>
      </c>
      <c r="C426">
        <v>16</v>
      </c>
      <c r="D426" s="1">
        <v>46040.536111111112</v>
      </c>
      <c r="E426">
        <v>49</v>
      </c>
      <c r="F426" t="s">
        <v>12</v>
      </c>
      <c r="G426" t="s">
        <v>10</v>
      </c>
      <c r="H426">
        <v>58</v>
      </c>
      <c r="I426" s="2">
        <f>VLOOKUP(B426,users!$A$1:$B$366,2,0)</f>
        <v>45441</v>
      </c>
      <c r="J426" s="3" t="str">
        <f>IFERROR(VLOOKUP(C426, merchants!$A$1:$D$41, 3, FALSE), "Data Missing")</f>
        <v>bill_payment</v>
      </c>
      <c r="K426" s="3" t="str">
        <f>IFERROR(VLOOKUP(C426, merchants!$A$1:$D$41, 4, FALSE), "Data Missing")</f>
        <v>West</v>
      </c>
      <c r="L426" s="7">
        <f>HLOOKUP(F426,payment_method!$A$1:$E$2,2,0)</f>
        <v>0</v>
      </c>
      <c r="M426" s="3" t="str">
        <f>IF(AND(E426&gt;5000, L426&lt;&gt;"East"), "High-Value Merchant Day", "Normal Day")</f>
        <v>Normal Day</v>
      </c>
    </row>
    <row r="427" spans="1:13" x14ac:dyDescent="0.3">
      <c r="A427" t="s">
        <v>440</v>
      </c>
      <c r="B427">
        <v>97</v>
      </c>
      <c r="C427">
        <v>8</v>
      </c>
      <c r="D427" s="1">
        <v>46034.178472222222</v>
      </c>
      <c r="E427">
        <v>99</v>
      </c>
      <c r="F427" t="s">
        <v>15</v>
      </c>
      <c r="G427" t="s">
        <v>10</v>
      </c>
      <c r="H427">
        <v>4</v>
      </c>
      <c r="I427" s="2">
        <f>VLOOKUP(B427,users!$A$1:$B$366,2,0)</f>
        <v>45679</v>
      </c>
      <c r="J427" s="3" t="str">
        <f>IFERROR(VLOOKUP(C427, merchants!$A$1:$D$41, 3, FALSE), "Data Missing")</f>
        <v>food_delivery</v>
      </c>
      <c r="K427" s="3" t="str">
        <f>IFERROR(VLOOKUP(C427, merchants!$A$1:$D$41, 4, FALSE), "Data Missing")</f>
        <v>North</v>
      </c>
      <c r="L427" s="7">
        <f>HLOOKUP(F427,payment_method!$A$1:$E$2,2,0)</f>
        <v>1.4999999999999999E-2</v>
      </c>
      <c r="M427" s="3" t="str">
        <f>IF(AND(E427&gt;5000, L427&lt;&gt;"East"), "High-Value Merchant Day", "Normal Day")</f>
        <v>Normal Day</v>
      </c>
    </row>
    <row r="428" spans="1:13" x14ac:dyDescent="0.3">
      <c r="A428" t="s">
        <v>441</v>
      </c>
      <c r="B428">
        <v>315</v>
      </c>
      <c r="C428">
        <v>2</v>
      </c>
      <c r="D428" s="1">
        <v>46048.893055555556</v>
      </c>
      <c r="E428">
        <v>299</v>
      </c>
      <c r="F428" t="s">
        <v>9</v>
      </c>
      <c r="G428" t="s">
        <v>10</v>
      </c>
      <c r="H428">
        <v>30</v>
      </c>
      <c r="I428" s="2">
        <f>VLOOKUP(B428,users!$A$1:$B$366,2,0)</f>
        <v>45723</v>
      </c>
      <c r="J428" s="3" t="str">
        <f>IFERROR(VLOOKUP(C428, merchants!$A$1:$D$41, 3, FALSE), "Data Missing")</f>
        <v>grocery</v>
      </c>
      <c r="K428" s="3" t="str">
        <f>IFERROR(VLOOKUP(C428, merchants!$A$1:$D$41, 4, FALSE), "Data Missing")</f>
        <v>West</v>
      </c>
      <c r="L428" s="7">
        <f>HLOOKUP(F428,payment_method!$A$1:$E$2,2,0)</f>
        <v>1.2E-2</v>
      </c>
      <c r="M428" s="3" t="str">
        <f>IF(AND(E428&gt;5000, L428&lt;&gt;"East"), "High-Value Merchant Day", "Normal Day")</f>
        <v>Normal Day</v>
      </c>
    </row>
    <row r="429" spans="1:13" x14ac:dyDescent="0.3">
      <c r="A429" t="s">
        <v>442</v>
      </c>
      <c r="B429">
        <v>305</v>
      </c>
      <c r="C429">
        <v>3</v>
      </c>
      <c r="D429" s="1">
        <v>46029.087500000001</v>
      </c>
      <c r="E429">
        <v>299</v>
      </c>
      <c r="F429" t="s">
        <v>12</v>
      </c>
      <c r="G429" t="s">
        <v>10</v>
      </c>
      <c r="H429">
        <v>57</v>
      </c>
      <c r="I429" s="2">
        <f>VLOOKUP(B429,users!$A$1:$B$366,2,0)</f>
        <v>45884</v>
      </c>
      <c r="J429" s="3" t="str">
        <f>IFERROR(VLOOKUP(C429, merchants!$A$1:$D$41, 3, FALSE), "Data Missing")</f>
        <v>grocery</v>
      </c>
      <c r="K429" s="3" t="str">
        <f>IFERROR(VLOOKUP(C429, merchants!$A$1:$D$41, 4, FALSE), "Data Missing")</f>
        <v>East</v>
      </c>
      <c r="L429" s="7">
        <f>HLOOKUP(F429,payment_method!$A$1:$E$2,2,0)</f>
        <v>0</v>
      </c>
      <c r="M429" s="3" t="str">
        <f>IF(AND(E429&gt;5000, L429&lt;&gt;"East"), "High-Value Merchant Day", "Normal Day")</f>
        <v>Normal Day</v>
      </c>
    </row>
    <row r="430" spans="1:13" x14ac:dyDescent="0.3">
      <c r="A430" t="s">
        <v>443</v>
      </c>
      <c r="B430">
        <v>25</v>
      </c>
      <c r="C430">
        <v>16</v>
      </c>
      <c r="D430" s="1">
        <v>46042.90625</v>
      </c>
      <c r="E430">
        <v>299</v>
      </c>
      <c r="F430" t="s">
        <v>12</v>
      </c>
      <c r="G430" t="s">
        <v>10</v>
      </c>
      <c r="H430">
        <v>94</v>
      </c>
      <c r="I430" s="2">
        <f>VLOOKUP(B430,users!$A$1:$B$366,2,0)</f>
        <v>45335</v>
      </c>
      <c r="J430" s="3" t="str">
        <f>IFERROR(VLOOKUP(C430, merchants!$A$1:$D$41, 3, FALSE), "Data Missing")</f>
        <v>bill_payment</v>
      </c>
      <c r="K430" s="3" t="str">
        <f>IFERROR(VLOOKUP(C430, merchants!$A$1:$D$41, 4, FALSE), "Data Missing")</f>
        <v>West</v>
      </c>
      <c r="L430" s="7">
        <f>HLOOKUP(F430,payment_method!$A$1:$E$2,2,0)</f>
        <v>0</v>
      </c>
      <c r="M430" s="3" t="str">
        <f>IF(AND(E430&gt;5000, L430&lt;&gt;"East"), "High-Value Merchant Day", "Normal Day")</f>
        <v>Normal Day</v>
      </c>
    </row>
    <row r="431" spans="1:13" x14ac:dyDescent="0.3">
      <c r="A431" t="s">
        <v>444</v>
      </c>
      <c r="B431">
        <v>120</v>
      </c>
      <c r="C431">
        <v>35</v>
      </c>
      <c r="D431" s="1">
        <v>46024.519444444442</v>
      </c>
      <c r="E431">
        <v>49</v>
      </c>
      <c r="F431" t="s">
        <v>12</v>
      </c>
      <c r="G431" t="s">
        <v>10</v>
      </c>
      <c r="H431">
        <v>27</v>
      </c>
      <c r="I431" s="2">
        <f>VLOOKUP(B431,users!$A$1:$B$366,2,0)</f>
        <v>45674</v>
      </c>
      <c r="J431" s="3" t="str">
        <f>IFERROR(VLOOKUP(C431, merchants!$A$1:$D$41, 3, FALSE), "Data Missing")</f>
        <v>recharge</v>
      </c>
      <c r="K431" s="3" t="str">
        <f>IFERROR(VLOOKUP(C431, merchants!$A$1:$D$41, 4, FALSE), "Data Missing")</f>
        <v>East</v>
      </c>
      <c r="L431" s="7">
        <f>HLOOKUP(F431,payment_method!$A$1:$E$2,2,0)</f>
        <v>0</v>
      </c>
      <c r="M431" s="3" t="str">
        <f>IF(AND(E431&gt;5000, L431&lt;&gt;"East"), "High-Value Merchant Day", "Normal Day")</f>
        <v>Normal Day</v>
      </c>
    </row>
    <row r="432" spans="1:13" x14ac:dyDescent="0.3">
      <c r="A432" t="s">
        <v>445</v>
      </c>
      <c r="B432">
        <v>258</v>
      </c>
      <c r="C432">
        <v>19</v>
      </c>
      <c r="D432" s="1">
        <v>46047.047222222223</v>
      </c>
      <c r="E432">
        <v>49</v>
      </c>
      <c r="F432" t="s">
        <v>9</v>
      </c>
      <c r="G432" t="s">
        <v>10</v>
      </c>
      <c r="H432">
        <v>29</v>
      </c>
      <c r="I432" s="2">
        <f>VLOOKUP(B432,users!$A$1:$B$366,2,0)</f>
        <v>45670</v>
      </c>
      <c r="J432" s="3" t="str">
        <f>IFERROR(VLOOKUP(C432, merchants!$A$1:$D$41, 3, FALSE), "Data Missing")</f>
        <v>grocery</v>
      </c>
      <c r="K432" s="3" t="str">
        <f>IFERROR(VLOOKUP(C432, merchants!$A$1:$D$41, 4, FALSE), "Data Missing")</f>
        <v>North</v>
      </c>
      <c r="L432" s="7">
        <f>HLOOKUP(F432,payment_method!$A$1:$E$2,2,0)</f>
        <v>1.2E-2</v>
      </c>
      <c r="M432" s="3" t="str">
        <f>IF(AND(E432&gt;5000, L432&lt;&gt;"East"), "High-Value Merchant Day", "Normal Day")</f>
        <v>Normal Day</v>
      </c>
    </row>
    <row r="433" spans="1:13" x14ac:dyDescent="0.3">
      <c r="A433" t="s">
        <v>446</v>
      </c>
      <c r="B433">
        <v>164</v>
      </c>
      <c r="C433">
        <v>37</v>
      </c>
      <c r="D433" s="1">
        <v>46049.98333333333</v>
      </c>
      <c r="E433">
        <v>799</v>
      </c>
      <c r="F433" t="s">
        <v>12</v>
      </c>
      <c r="G433" t="s">
        <v>10</v>
      </c>
      <c r="H433">
        <v>76</v>
      </c>
      <c r="I433" s="2">
        <f>VLOOKUP(B433,users!$A$1:$B$366,2,0)</f>
        <v>45894</v>
      </c>
      <c r="J433" s="3" t="str">
        <f>IFERROR(VLOOKUP(C433, merchants!$A$1:$D$41, 3, FALSE), "Data Missing")</f>
        <v>entertainment</v>
      </c>
      <c r="K433" s="3" t="str">
        <f>IFERROR(VLOOKUP(C433, merchants!$A$1:$D$41, 4, FALSE), "Data Missing")</f>
        <v>South</v>
      </c>
      <c r="L433" s="7">
        <f>HLOOKUP(F433,payment_method!$A$1:$E$2,2,0)</f>
        <v>0</v>
      </c>
      <c r="M433" s="3" t="str">
        <f>IF(AND(E433&gt;5000, L433&lt;&gt;"East"), "High-Value Merchant Day", "Normal Day")</f>
        <v>Normal Day</v>
      </c>
    </row>
    <row r="434" spans="1:13" x14ac:dyDescent="0.3">
      <c r="A434" t="s">
        <v>447</v>
      </c>
      <c r="B434">
        <v>165</v>
      </c>
      <c r="C434">
        <v>16</v>
      </c>
      <c r="D434" s="1">
        <v>46047.911111111112</v>
      </c>
      <c r="E434">
        <v>49</v>
      </c>
      <c r="F434" t="s">
        <v>9</v>
      </c>
      <c r="G434" t="s">
        <v>10</v>
      </c>
      <c r="H434">
        <v>38</v>
      </c>
      <c r="I434" s="2">
        <f>VLOOKUP(B434,users!$A$1:$B$366,2,0)</f>
        <v>45319</v>
      </c>
      <c r="J434" s="3" t="str">
        <f>IFERROR(VLOOKUP(C434, merchants!$A$1:$D$41, 3, FALSE), "Data Missing")</f>
        <v>bill_payment</v>
      </c>
      <c r="K434" s="3" t="str">
        <f>IFERROR(VLOOKUP(C434, merchants!$A$1:$D$41, 4, FALSE), "Data Missing")</f>
        <v>West</v>
      </c>
      <c r="L434" s="7">
        <f>HLOOKUP(F434,payment_method!$A$1:$E$2,2,0)</f>
        <v>1.2E-2</v>
      </c>
      <c r="M434" s="3" t="str">
        <f>IF(AND(E434&gt;5000, L434&lt;&gt;"East"), "High-Value Merchant Day", "Normal Day")</f>
        <v>Normal Day</v>
      </c>
    </row>
    <row r="435" spans="1:13" x14ac:dyDescent="0.3">
      <c r="A435" t="s">
        <v>448</v>
      </c>
      <c r="B435">
        <v>267</v>
      </c>
      <c r="C435">
        <v>15</v>
      </c>
      <c r="D435" s="1">
        <v>46051.195833333331</v>
      </c>
      <c r="E435">
        <v>49</v>
      </c>
      <c r="F435" t="s">
        <v>15</v>
      </c>
      <c r="G435" t="s">
        <v>10</v>
      </c>
      <c r="H435">
        <v>52</v>
      </c>
      <c r="I435" s="2">
        <f>VLOOKUP(B435,users!$A$1:$B$366,2,0)</f>
        <v>45306</v>
      </c>
      <c r="J435" s="3" t="str">
        <f>IFERROR(VLOOKUP(C435, merchants!$A$1:$D$41, 3, FALSE), "Data Missing")</f>
        <v>travel</v>
      </c>
      <c r="K435" s="3" t="str">
        <f>IFERROR(VLOOKUP(C435, merchants!$A$1:$D$41, 4, FALSE), "Data Missing")</f>
        <v>North</v>
      </c>
      <c r="L435" s="7">
        <f>HLOOKUP(F435,payment_method!$A$1:$E$2,2,0)</f>
        <v>1.4999999999999999E-2</v>
      </c>
      <c r="M435" s="3" t="str">
        <f>IF(AND(E435&gt;5000, L435&lt;&gt;"East"), "High-Value Merchant Day", "Normal Day")</f>
        <v>Normal Day</v>
      </c>
    </row>
    <row r="436" spans="1:13" x14ac:dyDescent="0.3">
      <c r="A436" t="s">
        <v>449</v>
      </c>
      <c r="B436">
        <v>286</v>
      </c>
      <c r="C436">
        <v>38</v>
      </c>
      <c r="D436" s="1">
        <v>46032.335416666669</v>
      </c>
      <c r="E436">
        <v>299</v>
      </c>
      <c r="F436" t="s">
        <v>9</v>
      </c>
      <c r="G436" t="s">
        <v>10</v>
      </c>
      <c r="H436">
        <v>94</v>
      </c>
      <c r="I436" s="2">
        <f>VLOOKUP(B436,users!$A$1:$B$366,2,0)</f>
        <v>45743</v>
      </c>
      <c r="J436" s="3" t="str">
        <f>IFERROR(VLOOKUP(C436, merchants!$A$1:$D$41, 3, FALSE), "Data Missing")</f>
        <v>grocery</v>
      </c>
      <c r="K436" s="3" t="str">
        <f>IFERROR(VLOOKUP(C436, merchants!$A$1:$D$41, 4, FALSE), "Data Missing")</f>
        <v>East</v>
      </c>
      <c r="L436" s="7">
        <f>HLOOKUP(F436,payment_method!$A$1:$E$2,2,0)</f>
        <v>1.2E-2</v>
      </c>
      <c r="M436" s="3" t="str">
        <f>IF(AND(E436&gt;5000, L436&lt;&gt;"East"), "High-Value Merchant Day", "Normal Day")</f>
        <v>Normal Day</v>
      </c>
    </row>
    <row r="437" spans="1:13" x14ac:dyDescent="0.3">
      <c r="A437" t="s">
        <v>450</v>
      </c>
      <c r="B437">
        <v>348</v>
      </c>
      <c r="C437">
        <v>28</v>
      </c>
      <c r="D437" s="1">
        <v>46052.236111111109</v>
      </c>
      <c r="E437">
        <v>499</v>
      </c>
      <c r="F437" t="s">
        <v>24</v>
      </c>
      <c r="G437" t="s">
        <v>10</v>
      </c>
      <c r="H437">
        <v>71</v>
      </c>
      <c r="I437" s="2">
        <f>VLOOKUP(B437,users!$A$1:$B$366,2,0)</f>
        <v>45678</v>
      </c>
      <c r="J437" s="3" t="str">
        <f>IFERROR(VLOOKUP(C437, merchants!$A$1:$D$41, 3, FALSE), "Data Missing")</f>
        <v>ecommerce</v>
      </c>
      <c r="K437" s="3" t="str">
        <f>IFERROR(VLOOKUP(C437, merchants!$A$1:$D$41, 4, FALSE), "Data Missing")</f>
        <v>South</v>
      </c>
      <c r="L437" s="7">
        <f>HLOOKUP(F437,payment_method!$A$1:$E$2,2,0)</f>
        <v>0.02</v>
      </c>
      <c r="M437" s="3" t="str">
        <f>IF(AND(E437&gt;5000, L437&lt;&gt;"East"), "High-Value Merchant Day", "Normal Day")</f>
        <v>Normal Day</v>
      </c>
    </row>
    <row r="438" spans="1:13" x14ac:dyDescent="0.3">
      <c r="A438" t="s">
        <v>451</v>
      </c>
      <c r="B438">
        <v>330</v>
      </c>
      <c r="C438">
        <v>25</v>
      </c>
      <c r="D438" s="1">
        <v>46038.056944444441</v>
      </c>
      <c r="E438">
        <v>799</v>
      </c>
      <c r="F438" t="s">
        <v>12</v>
      </c>
      <c r="G438" t="s">
        <v>10</v>
      </c>
      <c r="H438">
        <v>100</v>
      </c>
      <c r="I438" s="2">
        <f>VLOOKUP(B438,users!$A$1:$B$366,2,0)</f>
        <v>45828</v>
      </c>
      <c r="J438" s="3" t="str">
        <f>IFERROR(VLOOKUP(C438, merchants!$A$1:$D$41, 3, FALSE), "Data Missing")</f>
        <v>travel</v>
      </c>
      <c r="K438" s="3" t="str">
        <f>IFERROR(VLOOKUP(C438, merchants!$A$1:$D$41, 4, FALSE), "Data Missing")</f>
        <v>South</v>
      </c>
      <c r="L438" s="7">
        <f>HLOOKUP(F438,payment_method!$A$1:$E$2,2,0)</f>
        <v>0</v>
      </c>
      <c r="M438" s="3" t="str">
        <f>IF(AND(E438&gt;5000, L438&lt;&gt;"East"), "High-Value Merchant Day", "Normal Day")</f>
        <v>Normal Day</v>
      </c>
    </row>
    <row r="439" spans="1:13" x14ac:dyDescent="0.3">
      <c r="A439" t="s">
        <v>452</v>
      </c>
      <c r="B439">
        <v>214</v>
      </c>
      <c r="C439">
        <v>27</v>
      </c>
      <c r="D439" s="1">
        <v>46039.447222222225</v>
      </c>
      <c r="E439">
        <v>299</v>
      </c>
      <c r="F439" t="s">
        <v>24</v>
      </c>
      <c r="G439" t="s">
        <v>10</v>
      </c>
      <c r="H439">
        <v>19</v>
      </c>
      <c r="I439" s="2">
        <f>VLOOKUP(B439,users!$A$1:$B$366,2,0)</f>
        <v>45701</v>
      </c>
      <c r="J439" s="3" t="str">
        <f>IFERROR(VLOOKUP(C439, merchants!$A$1:$D$41, 3, FALSE), "Data Missing")</f>
        <v>ecommerce</v>
      </c>
      <c r="K439" s="3" t="str">
        <f>IFERROR(VLOOKUP(C439, merchants!$A$1:$D$41, 4, FALSE), "Data Missing")</f>
        <v>North</v>
      </c>
      <c r="L439" s="7">
        <f>HLOOKUP(F439,payment_method!$A$1:$E$2,2,0)</f>
        <v>0.02</v>
      </c>
      <c r="M439" s="3" t="str">
        <f>IF(AND(E439&gt;5000, L439&lt;&gt;"East"), "High-Value Merchant Day", "Normal Day")</f>
        <v>Normal Day</v>
      </c>
    </row>
    <row r="440" spans="1:13" x14ac:dyDescent="0.3">
      <c r="A440" t="s">
        <v>453</v>
      </c>
      <c r="B440">
        <v>276</v>
      </c>
      <c r="C440">
        <v>31</v>
      </c>
      <c r="D440" s="1">
        <v>46032.507638888892</v>
      </c>
      <c r="E440">
        <v>499</v>
      </c>
      <c r="F440" t="s">
        <v>12</v>
      </c>
      <c r="G440" t="s">
        <v>10</v>
      </c>
      <c r="H440">
        <v>30</v>
      </c>
      <c r="I440" s="2">
        <f>VLOOKUP(B440,users!$A$1:$B$366,2,0)</f>
        <v>45417</v>
      </c>
      <c r="J440" s="3" t="str">
        <f>IFERROR(VLOOKUP(C440, merchants!$A$1:$D$41, 3, FALSE), "Data Missing")</f>
        <v>bill_payment</v>
      </c>
      <c r="K440" s="3" t="str">
        <f>IFERROR(VLOOKUP(C440, merchants!$A$1:$D$41, 4, FALSE), "Data Missing")</f>
        <v>East</v>
      </c>
      <c r="L440" s="7">
        <f>HLOOKUP(F440,payment_method!$A$1:$E$2,2,0)</f>
        <v>0</v>
      </c>
      <c r="M440" s="3" t="str">
        <f>IF(AND(E440&gt;5000, L440&lt;&gt;"East"), "High-Value Merchant Day", "Normal Day")</f>
        <v>Normal Day</v>
      </c>
    </row>
    <row r="441" spans="1:13" x14ac:dyDescent="0.3">
      <c r="A441" t="s">
        <v>454</v>
      </c>
      <c r="B441">
        <v>74</v>
      </c>
      <c r="C441">
        <v>30</v>
      </c>
      <c r="D441" s="1">
        <v>46050.304861111108</v>
      </c>
      <c r="E441">
        <v>49</v>
      </c>
      <c r="F441" t="s">
        <v>12</v>
      </c>
      <c r="G441" t="s">
        <v>10</v>
      </c>
      <c r="H441">
        <v>7</v>
      </c>
      <c r="I441" s="2">
        <f>VLOOKUP(B441,users!$A$1:$B$366,2,0)</f>
        <v>45724</v>
      </c>
      <c r="J441" s="3" t="str">
        <f>IFERROR(VLOOKUP(C441, merchants!$A$1:$D$41, 3, FALSE), "Data Missing")</f>
        <v>travel</v>
      </c>
      <c r="K441" s="3" t="str">
        <f>IFERROR(VLOOKUP(C441, merchants!$A$1:$D$41, 4, FALSE), "Data Missing")</f>
        <v>West</v>
      </c>
      <c r="L441" s="7">
        <f>HLOOKUP(F441,payment_method!$A$1:$E$2,2,0)</f>
        <v>0</v>
      </c>
      <c r="M441" s="3" t="str">
        <f>IF(AND(E441&gt;5000, L441&lt;&gt;"East"), "High-Value Merchant Day", "Normal Day")</f>
        <v>Normal Day</v>
      </c>
    </row>
    <row r="442" spans="1:13" x14ac:dyDescent="0.3">
      <c r="A442" t="s">
        <v>455</v>
      </c>
      <c r="B442">
        <v>286</v>
      </c>
      <c r="C442">
        <v>34</v>
      </c>
      <c r="D442" s="1">
        <v>46040.55972222222</v>
      </c>
      <c r="E442">
        <v>49</v>
      </c>
      <c r="F442" t="s">
        <v>24</v>
      </c>
      <c r="G442" t="s">
        <v>10</v>
      </c>
      <c r="H442">
        <v>17</v>
      </c>
      <c r="I442" s="2">
        <f>VLOOKUP(B442,users!$A$1:$B$366,2,0)</f>
        <v>45743</v>
      </c>
      <c r="J442" s="3" t="str">
        <f>IFERROR(VLOOKUP(C442, merchants!$A$1:$D$41, 3, FALSE), "Data Missing")</f>
        <v>travel</v>
      </c>
      <c r="K442" s="3" t="str">
        <f>IFERROR(VLOOKUP(C442, merchants!$A$1:$D$41, 4, FALSE), "Data Missing")</f>
        <v>South</v>
      </c>
      <c r="L442" s="7">
        <f>HLOOKUP(F442,payment_method!$A$1:$E$2,2,0)</f>
        <v>0.02</v>
      </c>
      <c r="M442" s="3" t="str">
        <f>IF(AND(E442&gt;5000, L442&lt;&gt;"East"), "High-Value Merchant Day", "Normal Day")</f>
        <v>Normal Day</v>
      </c>
    </row>
    <row r="443" spans="1:13" x14ac:dyDescent="0.3">
      <c r="A443" t="s">
        <v>456</v>
      </c>
      <c r="B443">
        <v>105</v>
      </c>
      <c r="C443">
        <v>22</v>
      </c>
      <c r="D443" s="1">
        <v>46035.302777777775</v>
      </c>
      <c r="E443">
        <v>4999</v>
      </c>
      <c r="F443" t="s">
        <v>12</v>
      </c>
      <c r="G443" t="s">
        <v>10</v>
      </c>
      <c r="H443">
        <v>82</v>
      </c>
      <c r="I443" s="2">
        <f>VLOOKUP(B443,users!$A$1:$B$366,2,0)</f>
        <v>45923</v>
      </c>
      <c r="J443" s="3" t="str">
        <f>IFERROR(VLOOKUP(C443, merchants!$A$1:$D$41, 3, FALSE), "Data Missing")</f>
        <v>travel</v>
      </c>
      <c r="K443" s="3" t="str">
        <f>IFERROR(VLOOKUP(C443, merchants!$A$1:$D$41, 4, FALSE), "Data Missing")</f>
        <v>South</v>
      </c>
      <c r="L443" s="7">
        <f>HLOOKUP(F443,payment_method!$A$1:$E$2,2,0)</f>
        <v>0</v>
      </c>
      <c r="M443" s="3" t="str">
        <f>IF(AND(E443&gt;5000, L443&lt;&gt;"East"), "High-Value Merchant Day", "Normal Day")</f>
        <v>Normal Day</v>
      </c>
    </row>
    <row r="444" spans="1:13" x14ac:dyDescent="0.3">
      <c r="A444" t="s">
        <v>457</v>
      </c>
      <c r="B444">
        <v>190</v>
      </c>
      <c r="C444">
        <v>6</v>
      </c>
      <c r="D444" s="1">
        <v>46025.620833333334</v>
      </c>
      <c r="E444">
        <v>799</v>
      </c>
      <c r="F444" t="s">
        <v>9</v>
      </c>
      <c r="G444" t="s">
        <v>10</v>
      </c>
      <c r="H444">
        <v>68</v>
      </c>
      <c r="I444" s="2">
        <f>VLOOKUP(B444,users!$A$1:$B$366,2,0)</f>
        <v>45738</v>
      </c>
      <c r="J444" s="3" t="str">
        <f>IFERROR(VLOOKUP(C444, merchants!$A$1:$D$41, 3, FALSE), "Data Missing")</f>
        <v>food_delivery</v>
      </c>
      <c r="K444" s="3" t="str">
        <f>IFERROR(VLOOKUP(C444, merchants!$A$1:$D$41, 4, FALSE), "Data Missing")</f>
        <v>South</v>
      </c>
      <c r="L444" s="7">
        <f>HLOOKUP(F444,payment_method!$A$1:$E$2,2,0)</f>
        <v>1.2E-2</v>
      </c>
      <c r="M444" s="3" t="str">
        <f>IF(AND(E444&gt;5000, L444&lt;&gt;"East"), "High-Value Merchant Day", "Normal Day")</f>
        <v>Normal Day</v>
      </c>
    </row>
    <row r="445" spans="1:13" x14ac:dyDescent="0.3">
      <c r="A445" t="s">
        <v>458</v>
      </c>
      <c r="B445">
        <v>138</v>
      </c>
      <c r="C445">
        <v>25</v>
      </c>
      <c r="D445" s="1">
        <v>46046.252083333333</v>
      </c>
      <c r="E445">
        <v>299</v>
      </c>
      <c r="F445" t="s">
        <v>9</v>
      </c>
      <c r="G445" t="s">
        <v>10</v>
      </c>
      <c r="H445">
        <v>86</v>
      </c>
      <c r="I445" s="2">
        <f>VLOOKUP(B445,users!$A$1:$B$366,2,0)</f>
        <v>45768</v>
      </c>
      <c r="J445" s="3" t="str">
        <f>IFERROR(VLOOKUP(C445, merchants!$A$1:$D$41, 3, FALSE), "Data Missing")</f>
        <v>travel</v>
      </c>
      <c r="K445" s="3" t="str">
        <f>IFERROR(VLOOKUP(C445, merchants!$A$1:$D$41, 4, FALSE), "Data Missing")</f>
        <v>South</v>
      </c>
      <c r="L445" s="7">
        <f>HLOOKUP(F445,payment_method!$A$1:$E$2,2,0)</f>
        <v>1.2E-2</v>
      </c>
      <c r="M445" s="3" t="str">
        <f>IF(AND(E445&gt;5000, L445&lt;&gt;"East"), "High-Value Merchant Day", "Normal Day")</f>
        <v>Normal Day</v>
      </c>
    </row>
    <row r="446" spans="1:13" x14ac:dyDescent="0.3">
      <c r="A446" t="s">
        <v>459</v>
      </c>
      <c r="B446">
        <v>38</v>
      </c>
      <c r="C446">
        <v>13</v>
      </c>
      <c r="D446" s="1">
        <v>46042.793055555558</v>
      </c>
      <c r="E446">
        <v>4999</v>
      </c>
      <c r="F446" t="s">
        <v>15</v>
      </c>
      <c r="G446" t="s">
        <v>10</v>
      </c>
      <c r="H446">
        <v>97</v>
      </c>
      <c r="I446" s="2">
        <f>VLOOKUP(B446,users!$A$1:$B$366,2,0)</f>
        <v>45623</v>
      </c>
      <c r="J446" s="3" t="str">
        <f>IFERROR(VLOOKUP(C446, merchants!$A$1:$D$41, 3, FALSE), "Data Missing")</f>
        <v>travel</v>
      </c>
      <c r="K446" s="3" t="str">
        <f>IFERROR(VLOOKUP(C446, merchants!$A$1:$D$41, 4, FALSE), "Data Missing")</f>
        <v>East</v>
      </c>
      <c r="L446" s="7">
        <f>HLOOKUP(F446,payment_method!$A$1:$E$2,2,0)</f>
        <v>1.4999999999999999E-2</v>
      </c>
      <c r="M446" s="3" t="str">
        <f>IF(AND(E446&gt;5000, L446&lt;&gt;"East"), "High-Value Merchant Day", "Normal Day")</f>
        <v>Normal Day</v>
      </c>
    </row>
    <row r="447" spans="1:13" x14ac:dyDescent="0.3">
      <c r="A447" t="s">
        <v>460</v>
      </c>
      <c r="B447">
        <v>287</v>
      </c>
      <c r="C447">
        <v>14</v>
      </c>
      <c r="D447" s="1">
        <v>46041.987500000003</v>
      </c>
      <c r="E447">
        <v>99</v>
      </c>
      <c r="F447" t="s">
        <v>9</v>
      </c>
      <c r="G447" t="s">
        <v>10</v>
      </c>
      <c r="H447">
        <v>61</v>
      </c>
      <c r="I447" s="2">
        <f>VLOOKUP(B447,users!$A$1:$B$366,2,0)</f>
        <v>45615</v>
      </c>
      <c r="J447" s="3" t="str">
        <f>IFERROR(VLOOKUP(C447, merchants!$A$1:$D$41, 3, FALSE), "Data Missing")</f>
        <v>grocery</v>
      </c>
      <c r="K447" s="3" t="str">
        <f>IFERROR(VLOOKUP(C447, merchants!$A$1:$D$41, 4, FALSE), "Data Missing")</f>
        <v>East</v>
      </c>
      <c r="L447" s="7">
        <f>HLOOKUP(F447,payment_method!$A$1:$E$2,2,0)</f>
        <v>1.2E-2</v>
      </c>
      <c r="M447" s="3" t="str">
        <f>IF(AND(E447&gt;5000, L447&lt;&gt;"East"), "High-Value Merchant Day", "Normal Day")</f>
        <v>Normal Day</v>
      </c>
    </row>
    <row r="448" spans="1:13" x14ac:dyDescent="0.3">
      <c r="A448" t="s">
        <v>461</v>
      </c>
      <c r="B448">
        <v>8</v>
      </c>
      <c r="C448">
        <v>14</v>
      </c>
      <c r="D448" s="1">
        <v>46029.429861111108</v>
      </c>
      <c r="E448">
        <v>49</v>
      </c>
      <c r="F448" t="s">
        <v>12</v>
      </c>
      <c r="G448" t="s">
        <v>10</v>
      </c>
      <c r="H448">
        <v>24</v>
      </c>
      <c r="I448" s="2">
        <f>VLOOKUP(B448,users!$A$1:$B$366,2,0)</f>
        <v>45423</v>
      </c>
      <c r="J448" s="3" t="str">
        <f>IFERROR(VLOOKUP(C448, merchants!$A$1:$D$41, 3, FALSE), "Data Missing")</f>
        <v>grocery</v>
      </c>
      <c r="K448" s="3" t="str">
        <f>IFERROR(VLOOKUP(C448, merchants!$A$1:$D$41, 4, FALSE), "Data Missing")</f>
        <v>East</v>
      </c>
      <c r="L448" s="7">
        <f>HLOOKUP(F448,payment_method!$A$1:$E$2,2,0)</f>
        <v>0</v>
      </c>
      <c r="M448" s="3" t="str">
        <f>IF(AND(E448&gt;5000, L448&lt;&gt;"East"), "High-Value Merchant Day", "Normal Day")</f>
        <v>Normal Day</v>
      </c>
    </row>
    <row r="449" spans="1:13" x14ac:dyDescent="0.3">
      <c r="A449" t="s">
        <v>462</v>
      </c>
      <c r="B449">
        <v>246</v>
      </c>
      <c r="C449">
        <v>16</v>
      </c>
      <c r="D449" s="1">
        <v>46046.157638888886</v>
      </c>
      <c r="E449">
        <v>1499</v>
      </c>
      <c r="F449" t="s">
        <v>9</v>
      </c>
      <c r="G449" t="s">
        <v>10</v>
      </c>
      <c r="H449">
        <v>89</v>
      </c>
      <c r="I449" s="2">
        <f>VLOOKUP(B449,users!$A$1:$B$366,2,0)</f>
        <v>45410</v>
      </c>
      <c r="J449" s="3" t="str">
        <f>IFERROR(VLOOKUP(C449, merchants!$A$1:$D$41, 3, FALSE), "Data Missing")</f>
        <v>bill_payment</v>
      </c>
      <c r="K449" s="3" t="str">
        <f>IFERROR(VLOOKUP(C449, merchants!$A$1:$D$41, 4, FALSE), "Data Missing")</f>
        <v>West</v>
      </c>
      <c r="L449" s="7">
        <f>HLOOKUP(F449,payment_method!$A$1:$E$2,2,0)</f>
        <v>1.2E-2</v>
      </c>
      <c r="M449" s="3" t="str">
        <f>IF(AND(E449&gt;5000, L449&lt;&gt;"East"), "High-Value Merchant Day", "Normal Day")</f>
        <v>Normal Day</v>
      </c>
    </row>
    <row r="450" spans="1:13" x14ac:dyDescent="0.3">
      <c r="A450" t="s">
        <v>463</v>
      </c>
      <c r="B450">
        <v>204</v>
      </c>
      <c r="C450">
        <v>16</v>
      </c>
      <c r="D450" s="1">
        <v>46042.925694444442</v>
      </c>
      <c r="E450">
        <v>149</v>
      </c>
      <c r="F450" t="s">
        <v>12</v>
      </c>
      <c r="G450" t="s">
        <v>10</v>
      </c>
      <c r="H450">
        <v>70</v>
      </c>
      <c r="I450" s="2">
        <f>VLOOKUP(B450,users!$A$1:$B$366,2,0)</f>
        <v>45501</v>
      </c>
      <c r="J450" s="3" t="str">
        <f>IFERROR(VLOOKUP(C450, merchants!$A$1:$D$41, 3, FALSE), "Data Missing")</f>
        <v>bill_payment</v>
      </c>
      <c r="K450" s="3" t="str">
        <f>IFERROR(VLOOKUP(C450, merchants!$A$1:$D$41, 4, FALSE), "Data Missing")</f>
        <v>West</v>
      </c>
      <c r="L450" s="7">
        <f>HLOOKUP(F450,payment_method!$A$1:$E$2,2,0)</f>
        <v>0</v>
      </c>
      <c r="M450" s="3" t="str">
        <f>IF(AND(E450&gt;5000, L450&lt;&gt;"East"), "High-Value Merchant Day", "Normal Day")</f>
        <v>Normal Day</v>
      </c>
    </row>
    <row r="451" spans="1:13" x14ac:dyDescent="0.3">
      <c r="A451" t="s">
        <v>464</v>
      </c>
      <c r="B451">
        <v>239</v>
      </c>
      <c r="C451">
        <v>35</v>
      </c>
      <c r="D451" s="1">
        <v>46033.39166666667</v>
      </c>
      <c r="E451">
        <v>4999</v>
      </c>
      <c r="F451" t="s">
        <v>12</v>
      </c>
      <c r="G451" t="s">
        <v>10</v>
      </c>
      <c r="H451">
        <v>83</v>
      </c>
      <c r="I451" s="2">
        <f>VLOOKUP(B451,users!$A$1:$B$366,2,0)</f>
        <v>45923</v>
      </c>
      <c r="J451" s="3" t="str">
        <f>IFERROR(VLOOKUP(C451, merchants!$A$1:$D$41, 3, FALSE), "Data Missing")</f>
        <v>recharge</v>
      </c>
      <c r="K451" s="3" t="str">
        <f>IFERROR(VLOOKUP(C451, merchants!$A$1:$D$41, 4, FALSE), "Data Missing")</f>
        <v>East</v>
      </c>
      <c r="L451" s="7">
        <f>HLOOKUP(F451,payment_method!$A$1:$E$2,2,0)</f>
        <v>0</v>
      </c>
      <c r="M451" s="3" t="str">
        <f>IF(AND(E451&gt;5000, L451&lt;&gt;"East"), "High-Value Merchant Day", "Normal Day")</f>
        <v>Normal Day</v>
      </c>
    </row>
    <row r="452" spans="1:13" x14ac:dyDescent="0.3">
      <c r="A452" t="s">
        <v>465</v>
      </c>
      <c r="B452">
        <v>185</v>
      </c>
      <c r="C452">
        <v>33</v>
      </c>
      <c r="D452" s="1">
        <v>46034.386111111111</v>
      </c>
      <c r="E452">
        <v>299</v>
      </c>
      <c r="F452" t="s">
        <v>12</v>
      </c>
      <c r="G452" t="s">
        <v>10</v>
      </c>
      <c r="H452">
        <v>63</v>
      </c>
      <c r="I452" s="2">
        <f>VLOOKUP(B452,users!$A$1:$B$366,2,0)</f>
        <v>45850</v>
      </c>
      <c r="J452" s="3" t="str">
        <f>IFERROR(VLOOKUP(C452, merchants!$A$1:$D$41, 3, FALSE), "Data Missing")</f>
        <v>bill_payment</v>
      </c>
      <c r="K452" s="3" t="str">
        <f>IFERROR(VLOOKUP(C452, merchants!$A$1:$D$41, 4, FALSE), "Data Missing")</f>
        <v>East</v>
      </c>
      <c r="L452" s="7">
        <f>HLOOKUP(F452,payment_method!$A$1:$E$2,2,0)</f>
        <v>0</v>
      </c>
      <c r="M452" s="3" t="str">
        <f>IF(AND(E452&gt;5000, L452&lt;&gt;"East"), "High-Value Merchant Day", "Normal Day")</f>
        <v>Normal Day</v>
      </c>
    </row>
    <row r="453" spans="1:13" x14ac:dyDescent="0.3">
      <c r="A453" t="s">
        <v>466</v>
      </c>
      <c r="B453">
        <v>241</v>
      </c>
      <c r="C453">
        <v>21</v>
      </c>
      <c r="D453" s="1">
        <v>46037.160416666666</v>
      </c>
      <c r="E453">
        <v>299</v>
      </c>
      <c r="F453" t="s">
        <v>24</v>
      </c>
      <c r="G453" t="s">
        <v>10</v>
      </c>
      <c r="H453">
        <v>26</v>
      </c>
      <c r="I453" s="2">
        <f>VLOOKUP(B453,users!$A$1:$B$366,2,0)</f>
        <v>45924</v>
      </c>
      <c r="J453" s="3" t="str">
        <f>IFERROR(VLOOKUP(C453, merchants!$A$1:$D$41, 3, FALSE), "Data Missing")</f>
        <v>food_delivery</v>
      </c>
      <c r="K453" s="3" t="str">
        <f>IFERROR(VLOOKUP(C453, merchants!$A$1:$D$41, 4, FALSE), "Data Missing")</f>
        <v>East</v>
      </c>
      <c r="L453" s="7">
        <f>HLOOKUP(F453,payment_method!$A$1:$E$2,2,0)</f>
        <v>0.02</v>
      </c>
      <c r="M453" s="3" t="str">
        <f>IF(AND(E453&gt;5000, L453&lt;&gt;"East"), "High-Value Merchant Day", "Normal Day")</f>
        <v>Normal Day</v>
      </c>
    </row>
    <row r="454" spans="1:13" x14ac:dyDescent="0.3">
      <c r="A454" t="s">
        <v>467</v>
      </c>
      <c r="B454">
        <v>24</v>
      </c>
      <c r="C454">
        <v>37</v>
      </c>
      <c r="D454" s="1">
        <v>46034.43472222222</v>
      </c>
      <c r="E454">
        <v>149</v>
      </c>
      <c r="F454" t="s">
        <v>12</v>
      </c>
      <c r="G454" t="s">
        <v>10</v>
      </c>
      <c r="H454">
        <v>28</v>
      </c>
      <c r="I454" s="2">
        <f>VLOOKUP(B454,users!$A$1:$B$366,2,0)</f>
        <v>45588</v>
      </c>
      <c r="J454" s="3" t="str">
        <f>IFERROR(VLOOKUP(C454, merchants!$A$1:$D$41, 3, FALSE), "Data Missing")</f>
        <v>entertainment</v>
      </c>
      <c r="K454" s="3" t="str">
        <f>IFERROR(VLOOKUP(C454, merchants!$A$1:$D$41, 4, FALSE), "Data Missing")</f>
        <v>South</v>
      </c>
      <c r="L454" s="7">
        <f>HLOOKUP(F454,payment_method!$A$1:$E$2,2,0)</f>
        <v>0</v>
      </c>
      <c r="M454" s="3" t="str">
        <f>IF(AND(E454&gt;5000, L454&lt;&gt;"East"), "High-Value Merchant Day", "Normal Day")</f>
        <v>Normal Day</v>
      </c>
    </row>
    <row r="455" spans="1:13" x14ac:dyDescent="0.3">
      <c r="A455" t="s">
        <v>468</v>
      </c>
      <c r="B455">
        <v>134</v>
      </c>
      <c r="C455">
        <v>36</v>
      </c>
      <c r="D455" s="1">
        <v>46046.167361111111</v>
      </c>
      <c r="E455">
        <v>1499</v>
      </c>
      <c r="F455" t="s">
        <v>12</v>
      </c>
      <c r="G455" t="s">
        <v>10</v>
      </c>
      <c r="H455">
        <v>74</v>
      </c>
      <c r="I455" s="2">
        <f>VLOOKUP(B455,users!$A$1:$B$366,2,0)</f>
        <v>45391</v>
      </c>
      <c r="J455" s="3" t="str">
        <f>IFERROR(VLOOKUP(C455, merchants!$A$1:$D$41, 3, FALSE), "Data Missing")</f>
        <v>entertainment</v>
      </c>
      <c r="K455" s="3" t="str">
        <f>IFERROR(VLOOKUP(C455, merchants!$A$1:$D$41, 4, FALSE), "Data Missing")</f>
        <v>East</v>
      </c>
      <c r="L455" s="7">
        <f>HLOOKUP(F455,payment_method!$A$1:$E$2,2,0)</f>
        <v>0</v>
      </c>
      <c r="M455" s="3" t="str">
        <f>IF(AND(E455&gt;5000, L455&lt;&gt;"East"), "High-Value Merchant Day", "Normal Day")</f>
        <v>Normal Day</v>
      </c>
    </row>
    <row r="456" spans="1:13" x14ac:dyDescent="0.3">
      <c r="A456" t="s">
        <v>469</v>
      </c>
      <c r="B456">
        <v>152</v>
      </c>
      <c r="C456">
        <v>10</v>
      </c>
      <c r="D456" s="1">
        <v>46041.976388888892</v>
      </c>
      <c r="E456">
        <v>499</v>
      </c>
      <c r="F456" t="s">
        <v>9</v>
      </c>
      <c r="G456" t="s">
        <v>10</v>
      </c>
      <c r="H456">
        <v>25</v>
      </c>
      <c r="I456" s="2">
        <f>VLOOKUP(B456,users!$A$1:$B$366,2,0)</f>
        <v>45496</v>
      </c>
      <c r="J456" s="3" t="str">
        <f>IFERROR(VLOOKUP(C456, merchants!$A$1:$D$41, 3, FALSE), "Data Missing")</f>
        <v>grocery</v>
      </c>
      <c r="K456" s="3" t="str">
        <f>IFERROR(VLOOKUP(C456, merchants!$A$1:$D$41, 4, FALSE), "Data Missing")</f>
        <v>West</v>
      </c>
      <c r="L456" s="7">
        <f>HLOOKUP(F456,payment_method!$A$1:$E$2,2,0)</f>
        <v>1.2E-2</v>
      </c>
      <c r="M456" s="3" t="str">
        <f>IF(AND(E456&gt;5000, L456&lt;&gt;"East"), "High-Value Merchant Day", "Normal Day")</f>
        <v>Normal Day</v>
      </c>
    </row>
    <row r="457" spans="1:13" x14ac:dyDescent="0.3">
      <c r="A457" t="s">
        <v>470</v>
      </c>
      <c r="B457">
        <v>292</v>
      </c>
      <c r="C457">
        <v>16</v>
      </c>
      <c r="D457" s="1">
        <v>46033.308333333334</v>
      </c>
      <c r="E457">
        <v>499</v>
      </c>
      <c r="F457" t="s">
        <v>15</v>
      </c>
      <c r="G457" t="s">
        <v>10</v>
      </c>
      <c r="H457">
        <v>63</v>
      </c>
      <c r="I457" s="2">
        <f>VLOOKUP(B457,users!$A$1:$B$366,2,0)</f>
        <v>45684</v>
      </c>
      <c r="J457" s="3" t="str">
        <f>IFERROR(VLOOKUP(C457, merchants!$A$1:$D$41, 3, FALSE), "Data Missing")</f>
        <v>bill_payment</v>
      </c>
      <c r="K457" s="3" t="str">
        <f>IFERROR(VLOOKUP(C457, merchants!$A$1:$D$41, 4, FALSE), "Data Missing")</f>
        <v>West</v>
      </c>
      <c r="L457" s="7">
        <f>HLOOKUP(F457,payment_method!$A$1:$E$2,2,0)</f>
        <v>1.4999999999999999E-2</v>
      </c>
      <c r="M457" s="3" t="str">
        <f>IF(AND(E457&gt;5000, L457&lt;&gt;"East"), "High-Value Merchant Day", "Normal Day")</f>
        <v>Normal Day</v>
      </c>
    </row>
    <row r="458" spans="1:13" x14ac:dyDescent="0.3">
      <c r="A458" t="s">
        <v>471</v>
      </c>
      <c r="B458">
        <v>173</v>
      </c>
      <c r="C458">
        <v>17</v>
      </c>
      <c r="D458" s="1">
        <v>46040.863194444442</v>
      </c>
      <c r="E458">
        <v>99</v>
      </c>
      <c r="F458" t="s">
        <v>15</v>
      </c>
      <c r="G458" t="s">
        <v>10</v>
      </c>
      <c r="H458">
        <v>97</v>
      </c>
      <c r="I458" s="2">
        <f>VLOOKUP(B458,users!$A$1:$B$366,2,0)</f>
        <v>45324</v>
      </c>
      <c r="J458" s="3" t="str">
        <f>IFERROR(VLOOKUP(C458, merchants!$A$1:$D$41, 3, FALSE), "Data Missing")</f>
        <v>grocery</v>
      </c>
      <c r="K458" s="3" t="str">
        <f>IFERROR(VLOOKUP(C458, merchants!$A$1:$D$41, 4, FALSE), "Data Missing")</f>
        <v>North</v>
      </c>
      <c r="L458" s="7">
        <f>HLOOKUP(F458,payment_method!$A$1:$E$2,2,0)</f>
        <v>1.4999999999999999E-2</v>
      </c>
      <c r="M458" s="3" t="str">
        <f>IF(AND(E458&gt;5000, L458&lt;&gt;"East"), "High-Value Merchant Day", "Normal Day")</f>
        <v>Normal Day</v>
      </c>
    </row>
    <row r="459" spans="1:13" x14ac:dyDescent="0.3">
      <c r="A459" t="s">
        <v>472</v>
      </c>
      <c r="B459">
        <v>329</v>
      </c>
      <c r="C459">
        <v>32</v>
      </c>
      <c r="D459" s="1">
        <v>46049.656944444447</v>
      </c>
      <c r="E459">
        <v>1499</v>
      </c>
      <c r="F459" t="s">
        <v>12</v>
      </c>
      <c r="G459" t="s">
        <v>10</v>
      </c>
      <c r="H459">
        <v>58</v>
      </c>
      <c r="I459" s="2">
        <f>VLOOKUP(B459,users!$A$1:$B$366,2,0)</f>
        <v>45725</v>
      </c>
      <c r="J459" s="3" t="str">
        <f>IFERROR(VLOOKUP(C459, merchants!$A$1:$D$41, 3, FALSE), "Data Missing")</f>
        <v>food_delivery</v>
      </c>
      <c r="K459" s="3" t="str">
        <f>IFERROR(VLOOKUP(C459, merchants!$A$1:$D$41, 4, FALSE), "Data Missing")</f>
        <v>West</v>
      </c>
      <c r="L459" s="7">
        <f>HLOOKUP(F459,payment_method!$A$1:$E$2,2,0)</f>
        <v>0</v>
      </c>
      <c r="M459" s="3" t="str">
        <f>IF(AND(E459&gt;5000, L459&lt;&gt;"East"), "High-Value Merchant Day", "Normal Day")</f>
        <v>Normal Day</v>
      </c>
    </row>
    <row r="460" spans="1:13" x14ac:dyDescent="0.3">
      <c r="A460" t="s">
        <v>473</v>
      </c>
      <c r="B460">
        <v>181</v>
      </c>
      <c r="C460">
        <v>11</v>
      </c>
      <c r="D460" s="1">
        <v>46028.993055555555</v>
      </c>
      <c r="E460">
        <v>1499</v>
      </c>
      <c r="F460" t="s">
        <v>12</v>
      </c>
      <c r="G460" t="s">
        <v>10</v>
      </c>
      <c r="H460">
        <v>17</v>
      </c>
      <c r="I460" s="2">
        <f>VLOOKUP(B460,users!$A$1:$B$366,2,0)</f>
        <v>45797</v>
      </c>
      <c r="J460" s="3" t="str">
        <f>IFERROR(VLOOKUP(C460, merchants!$A$1:$D$41, 3, FALSE), "Data Missing")</f>
        <v>ecommerce</v>
      </c>
      <c r="K460" s="3" t="str">
        <f>IFERROR(VLOOKUP(C460, merchants!$A$1:$D$41, 4, FALSE), "Data Missing")</f>
        <v>North</v>
      </c>
      <c r="L460" s="7">
        <f>HLOOKUP(F460,payment_method!$A$1:$E$2,2,0)</f>
        <v>0</v>
      </c>
      <c r="M460" s="3" t="str">
        <f>IF(AND(E460&gt;5000, L460&lt;&gt;"East"), "High-Value Merchant Day", "Normal Day")</f>
        <v>Normal Day</v>
      </c>
    </row>
    <row r="461" spans="1:13" x14ac:dyDescent="0.3">
      <c r="A461" t="s">
        <v>474</v>
      </c>
      <c r="B461">
        <v>95</v>
      </c>
      <c r="C461">
        <v>35</v>
      </c>
      <c r="D461" s="1">
        <v>46046.729861111111</v>
      </c>
      <c r="E461">
        <v>149</v>
      </c>
      <c r="F461" t="s">
        <v>9</v>
      </c>
      <c r="G461" t="s">
        <v>10</v>
      </c>
      <c r="H461">
        <v>82</v>
      </c>
      <c r="I461" s="2">
        <f>VLOOKUP(B461,users!$A$1:$B$366,2,0)</f>
        <v>45879</v>
      </c>
      <c r="J461" s="3" t="str">
        <f>IFERROR(VLOOKUP(C461, merchants!$A$1:$D$41, 3, FALSE), "Data Missing")</f>
        <v>recharge</v>
      </c>
      <c r="K461" s="3" t="str">
        <f>IFERROR(VLOOKUP(C461, merchants!$A$1:$D$41, 4, FALSE), "Data Missing")</f>
        <v>East</v>
      </c>
      <c r="L461" s="7">
        <f>HLOOKUP(F461,payment_method!$A$1:$E$2,2,0)</f>
        <v>1.2E-2</v>
      </c>
      <c r="M461" s="3" t="str">
        <f>IF(AND(E461&gt;5000, L461&lt;&gt;"East"), "High-Value Merchant Day", "Normal Day")</f>
        <v>Normal Day</v>
      </c>
    </row>
    <row r="462" spans="1:13" x14ac:dyDescent="0.3">
      <c r="A462" t="s">
        <v>475</v>
      </c>
      <c r="B462">
        <v>39</v>
      </c>
      <c r="C462">
        <v>4</v>
      </c>
      <c r="D462" s="1">
        <v>46024.668055555558</v>
      </c>
      <c r="E462">
        <v>149</v>
      </c>
      <c r="F462" t="s">
        <v>15</v>
      </c>
      <c r="G462" t="s">
        <v>10</v>
      </c>
      <c r="H462">
        <v>97</v>
      </c>
      <c r="I462" s="2">
        <f>VLOOKUP(B462,users!$A$1:$B$366,2,0)</f>
        <v>45769</v>
      </c>
      <c r="J462" s="3" t="str">
        <f>IFERROR(VLOOKUP(C462, merchants!$A$1:$D$41, 3, FALSE), "Data Missing")</f>
        <v>ecommerce</v>
      </c>
      <c r="K462" s="3" t="str">
        <f>IFERROR(VLOOKUP(C462, merchants!$A$1:$D$41, 4, FALSE), "Data Missing")</f>
        <v>East</v>
      </c>
      <c r="L462" s="7">
        <f>HLOOKUP(F462,payment_method!$A$1:$E$2,2,0)</f>
        <v>1.4999999999999999E-2</v>
      </c>
      <c r="M462" s="3" t="str">
        <f>IF(AND(E462&gt;5000, L462&lt;&gt;"East"), "High-Value Merchant Day", "Normal Day")</f>
        <v>Normal Day</v>
      </c>
    </row>
    <row r="463" spans="1:13" x14ac:dyDescent="0.3">
      <c r="A463" t="s">
        <v>476</v>
      </c>
      <c r="B463">
        <v>323</v>
      </c>
      <c r="C463">
        <v>15</v>
      </c>
      <c r="D463" s="1">
        <v>46023.547222222223</v>
      </c>
      <c r="E463">
        <v>499</v>
      </c>
      <c r="F463" t="s">
        <v>12</v>
      </c>
      <c r="G463" t="s">
        <v>10</v>
      </c>
      <c r="H463">
        <v>8</v>
      </c>
      <c r="I463" s="2">
        <f>VLOOKUP(B463,users!$A$1:$B$366,2,0)</f>
        <v>45710</v>
      </c>
      <c r="J463" s="3" t="str">
        <f>IFERROR(VLOOKUP(C463, merchants!$A$1:$D$41, 3, FALSE), "Data Missing")</f>
        <v>travel</v>
      </c>
      <c r="K463" s="3" t="str">
        <f>IFERROR(VLOOKUP(C463, merchants!$A$1:$D$41, 4, FALSE), "Data Missing")</f>
        <v>North</v>
      </c>
      <c r="L463" s="7">
        <f>HLOOKUP(F463,payment_method!$A$1:$E$2,2,0)</f>
        <v>0</v>
      </c>
      <c r="M463" s="3" t="str">
        <f>IF(AND(E463&gt;5000, L463&lt;&gt;"East"), "High-Value Merchant Day", "Normal Day")</f>
        <v>Normal Day</v>
      </c>
    </row>
    <row r="464" spans="1:13" x14ac:dyDescent="0.3">
      <c r="A464" t="s">
        <v>477</v>
      </c>
      <c r="B464">
        <v>112</v>
      </c>
      <c r="C464">
        <v>33</v>
      </c>
      <c r="D464" s="1">
        <v>46045.166666666664</v>
      </c>
      <c r="E464">
        <v>49</v>
      </c>
      <c r="F464" t="s">
        <v>15</v>
      </c>
      <c r="G464" t="s">
        <v>10</v>
      </c>
      <c r="H464">
        <v>58</v>
      </c>
      <c r="I464" s="2">
        <f>VLOOKUP(B464,users!$A$1:$B$366,2,0)</f>
        <v>45824</v>
      </c>
      <c r="J464" s="3" t="str">
        <f>IFERROR(VLOOKUP(C464, merchants!$A$1:$D$41, 3, FALSE), "Data Missing")</f>
        <v>bill_payment</v>
      </c>
      <c r="K464" s="3" t="str">
        <f>IFERROR(VLOOKUP(C464, merchants!$A$1:$D$41, 4, FALSE), "Data Missing")</f>
        <v>East</v>
      </c>
      <c r="L464" s="7">
        <f>HLOOKUP(F464,payment_method!$A$1:$E$2,2,0)</f>
        <v>1.4999999999999999E-2</v>
      </c>
      <c r="M464" s="3" t="str">
        <f>IF(AND(E464&gt;5000, L464&lt;&gt;"East"), "High-Value Merchant Day", "Normal Day")</f>
        <v>Normal Day</v>
      </c>
    </row>
    <row r="465" spans="1:13" x14ac:dyDescent="0.3">
      <c r="A465" t="s">
        <v>478</v>
      </c>
      <c r="B465">
        <v>327</v>
      </c>
      <c r="C465">
        <v>40</v>
      </c>
      <c r="D465" s="1">
        <v>46034.068749999999</v>
      </c>
      <c r="E465">
        <v>99</v>
      </c>
      <c r="F465" t="s">
        <v>12</v>
      </c>
      <c r="G465" t="s">
        <v>10</v>
      </c>
      <c r="H465">
        <v>61</v>
      </c>
      <c r="I465" s="2">
        <f>VLOOKUP(B465,users!$A$1:$B$366,2,0)</f>
        <v>45860</v>
      </c>
      <c r="J465" s="3" t="str">
        <f>IFERROR(VLOOKUP(C465, merchants!$A$1:$D$41, 3, FALSE), "Data Missing")</f>
        <v>entertainment</v>
      </c>
      <c r="K465" s="3" t="str">
        <f>IFERROR(VLOOKUP(C465, merchants!$A$1:$D$41, 4, FALSE), "Data Missing")</f>
        <v>South</v>
      </c>
      <c r="L465" s="7">
        <f>HLOOKUP(F465,payment_method!$A$1:$E$2,2,0)</f>
        <v>0</v>
      </c>
      <c r="M465" s="3" t="str">
        <f>IF(AND(E465&gt;5000, L465&lt;&gt;"East"), "High-Value Merchant Day", "Normal Day")</f>
        <v>Normal Day</v>
      </c>
    </row>
    <row r="466" spans="1:13" x14ac:dyDescent="0.3">
      <c r="A466" t="s">
        <v>479</v>
      </c>
      <c r="B466">
        <v>4</v>
      </c>
      <c r="C466">
        <v>35</v>
      </c>
      <c r="D466" s="1">
        <v>46044.625694444447</v>
      </c>
      <c r="E466">
        <v>299</v>
      </c>
      <c r="F466" t="s">
        <v>12</v>
      </c>
      <c r="G466" t="s">
        <v>10</v>
      </c>
      <c r="H466">
        <v>70</v>
      </c>
      <c r="I466" s="2">
        <f>VLOOKUP(B466,users!$A$1:$B$366,2,0)</f>
        <v>45520</v>
      </c>
      <c r="J466" s="3" t="str">
        <f>IFERROR(VLOOKUP(C466, merchants!$A$1:$D$41, 3, FALSE), "Data Missing")</f>
        <v>recharge</v>
      </c>
      <c r="K466" s="3" t="str">
        <f>IFERROR(VLOOKUP(C466, merchants!$A$1:$D$41, 4, FALSE), "Data Missing")</f>
        <v>East</v>
      </c>
      <c r="L466" s="7">
        <f>HLOOKUP(F466,payment_method!$A$1:$E$2,2,0)</f>
        <v>0</v>
      </c>
      <c r="M466" s="3" t="str">
        <f>IF(AND(E466&gt;5000, L466&lt;&gt;"East"), "High-Value Merchant Day", "Normal Day")</f>
        <v>Normal Day</v>
      </c>
    </row>
    <row r="467" spans="1:13" x14ac:dyDescent="0.3">
      <c r="A467" t="s">
        <v>480</v>
      </c>
      <c r="B467">
        <v>272</v>
      </c>
      <c r="C467">
        <v>18</v>
      </c>
      <c r="D467" s="1">
        <v>46036.000694444447</v>
      </c>
      <c r="E467">
        <v>149</v>
      </c>
      <c r="F467" t="s">
        <v>12</v>
      </c>
      <c r="G467" t="s">
        <v>10</v>
      </c>
      <c r="H467">
        <v>68</v>
      </c>
      <c r="I467" s="2">
        <f>VLOOKUP(B467,users!$A$1:$B$366,2,0)</f>
        <v>45919</v>
      </c>
      <c r="J467" s="3" t="str">
        <f>IFERROR(VLOOKUP(C467, merchants!$A$1:$D$41, 3, FALSE), "Data Missing")</f>
        <v>grocery</v>
      </c>
      <c r="K467" s="3" t="str">
        <f>IFERROR(VLOOKUP(C467, merchants!$A$1:$D$41, 4, FALSE), "Data Missing")</f>
        <v>West</v>
      </c>
      <c r="L467" s="7">
        <f>HLOOKUP(F467,payment_method!$A$1:$E$2,2,0)</f>
        <v>0</v>
      </c>
      <c r="M467" s="3" t="str">
        <f>IF(AND(E467&gt;5000, L467&lt;&gt;"East"), "High-Value Merchant Day", "Normal Day")</f>
        <v>Normal Day</v>
      </c>
    </row>
    <row r="468" spans="1:13" x14ac:dyDescent="0.3">
      <c r="A468" t="s">
        <v>481</v>
      </c>
      <c r="B468">
        <v>346</v>
      </c>
      <c r="C468">
        <v>28</v>
      </c>
      <c r="D468" s="1">
        <v>46032.022222222222</v>
      </c>
      <c r="E468">
        <v>499</v>
      </c>
      <c r="F468" t="s">
        <v>12</v>
      </c>
      <c r="G468" t="s">
        <v>10</v>
      </c>
      <c r="H468">
        <v>22</v>
      </c>
      <c r="I468" s="2">
        <f>VLOOKUP(B468,users!$A$1:$B$366,2,0)</f>
        <v>45863</v>
      </c>
      <c r="J468" s="3" t="str">
        <f>IFERROR(VLOOKUP(C468, merchants!$A$1:$D$41, 3, FALSE), "Data Missing")</f>
        <v>ecommerce</v>
      </c>
      <c r="K468" s="3" t="str">
        <f>IFERROR(VLOOKUP(C468, merchants!$A$1:$D$41, 4, FALSE), "Data Missing")</f>
        <v>South</v>
      </c>
      <c r="L468" s="7">
        <f>HLOOKUP(F468,payment_method!$A$1:$E$2,2,0)</f>
        <v>0</v>
      </c>
      <c r="M468" s="3" t="str">
        <f>IF(AND(E468&gt;5000, L468&lt;&gt;"East"), "High-Value Merchant Day", "Normal Day")</f>
        <v>Normal Day</v>
      </c>
    </row>
    <row r="469" spans="1:13" x14ac:dyDescent="0.3">
      <c r="A469" t="s">
        <v>482</v>
      </c>
      <c r="B469">
        <v>77</v>
      </c>
      <c r="C469">
        <v>16</v>
      </c>
      <c r="D469" s="1">
        <v>46026.147916666669</v>
      </c>
      <c r="E469">
        <v>49</v>
      </c>
      <c r="F469" t="s">
        <v>9</v>
      </c>
      <c r="G469" t="s">
        <v>10</v>
      </c>
      <c r="H469">
        <v>24</v>
      </c>
      <c r="I469" s="2">
        <f>VLOOKUP(B469,users!$A$1:$B$366,2,0)</f>
        <v>45474</v>
      </c>
      <c r="J469" s="3" t="str">
        <f>IFERROR(VLOOKUP(C469, merchants!$A$1:$D$41, 3, FALSE), "Data Missing")</f>
        <v>bill_payment</v>
      </c>
      <c r="K469" s="3" t="str">
        <f>IFERROR(VLOOKUP(C469, merchants!$A$1:$D$41, 4, FALSE), "Data Missing")</f>
        <v>West</v>
      </c>
      <c r="L469" s="7">
        <f>HLOOKUP(F469,payment_method!$A$1:$E$2,2,0)</f>
        <v>1.2E-2</v>
      </c>
      <c r="M469" s="3" t="str">
        <f>IF(AND(E469&gt;5000, L469&lt;&gt;"East"), "High-Value Merchant Day", "Normal Day")</f>
        <v>Normal Day</v>
      </c>
    </row>
    <row r="470" spans="1:13" x14ac:dyDescent="0.3">
      <c r="A470" t="s">
        <v>483</v>
      </c>
      <c r="B470">
        <v>182</v>
      </c>
      <c r="C470">
        <v>18</v>
      </c>
      <c r="D470" s="1">
        <v>46042.677777777775</v>
      </c>
      <c r="E470">
        <v>149</v>
      </c>
      <c r="F470" t="s">
        <v>24</v>
      </c>
      <c r="G470" t="s">
        <v>10</v>
      </c>
      <c r="H470">
        <v>50</v>
      </c>
      <c r="I470" s="2">
        <f>VLOOKUP(B470,users!$A$1:$B$366,2,0)</f>
        <v>45799</v>
      </c>
      <c r="J470" s="3" t="str">
        <f>IFERROR(VLOOKUP(C470, merchants!$A$1:$D$41, 3, FALSE), "Data Missing")</f>
        <v>grocery</v>
      </c>
      <c r="K470" s="3" t="str">
        <f>IFERROR(VLOOKUP(C470, merchants!$A$1:$D$41, 4, FALSE), "Data Missing")</f>
        <v>West</v>
      </c>
      <c r="L470" s="7">
        <f>HLOOKUP(F470,payment_method!$A$1:$E$2,2,0)</f>
        <v>0.02</v>
      </c>
      <c r="M470" s="3" t="str">
        <f>IF(AND(E470&gt;5000, L470&lt;&gt;"East"), "High-Value Merchant Day", "Normal Day")</f>
        <v>Normal Day</v>
      </c>
    </row>
    <row r="471" spans="1:13" x14ac:dyDescent="0.3">
      <c r="A471" t="s">
        <v>484</v>
      </c>
      <c r="B471">
        <v>236</v>
      </c>
      <c r="C471">
        <v>37</v>
      </c>
      <c r="D471" s="1">
        <v>46025.475694444445</v>
      </c>
      <c r="E471">
        <v>299</v>
      </c>
      <c r="F471" t="s">
        <v>24</v>
      </c>
      <c r="G471" t="s">
        <v>10</v>
      </c>
      <c r="H471">
        <v>31</v>
      </c>
      <c r="I471" s="2">
        <f>VLOOKUP(B471,users!$A$1:$B$366,2,0)</f>
        <v>45473</v>
      </c>
      <c r="J471" s="3" t="str">
        <f>IFERROR(VLOOKUP(C471, merchants!$A$1:$D$41, 3, FALSE), "Data Missing")</f>
        <v>entertainment</v>
      </c>
      <c r="K471" s="3" t="str">
        <f>IFERROR(VLOOKUP(C471, merchants!$A$1:$D$41, 4, FALSE), "Data Missing")</f>
        <v>South</v>
      </c>
      <c r="L471" s="7">
        <f>HLOOKUP(F471,payment_method!$A$1:$E$2,2,0)</f>
        <v>0.02</v>
      </c>
      <c r="M471" s="3" t="str">
        <f>IF(AND(E471&gt;5000, L471&lt;&gt;"East"), "High-Value Merchant Day", "Normal Day")</f>
        <v>Normal Day</v>
      </c>
    </row>
    <row r="472" spans="1:13" x14ac:dyDescent="0.3">
      <c r="A472" t="s">
        <v>485</v>
      </c>
      <c r="B472">
        <v>42</v>
      </c>
      <c r="C472">
        <v>3</v>
      </c>
      <c r="D472" s="1">
        <v>46045.304861111108</v>
      </c>
      <c r="E472">
        <v>49</v>
      </c>
      <c r="F472" t="s">
        <v>12</v>
      </c>
      <c r="G472" t="s">
        <v>10</v>
      </c>
      <c r="H472">
        <v>11</v>
      </c>
      <c r="I472" s="2">
        <f>VLOOKUP(B472,users!$A$1:$B$366,2,0)</f>
        <v>45488</v>
      </c>
      <c r="J472" s="3" t="str">
        <f>IFERROR(VLOOKUP(C472, merchants!$A$1:$D$41, 3, FALSE), "Data Missing")</f>
        <v>grocery</v>
      </c>
      <c r="K472" s="3" t="str">
        <f>IFERROR(VLOOKUP(C472, merchants!$A$1:$D$41, 4, FALSE), "Data Missing")</f>
        <v>East</v>
      </c>
      <c r="L472" s="7">
        <f>HLOOKUP(F472,payment_method!$A$1:$E$2,2,0)</f>
        <v>0</v>
      </c>
      <c r="M472" s="3" t="str">
        <f>IF(AND(E472&gt;5000, L472&lt;&gt;"East"), "High-Value Merchant Day", "Normal Day")</f>
        <v>Normal Day</v>
      </c>
    </row>
    <row r="473" spans="1:13" x14ac:dyDescent="0.3">
      <c r="A473" t="s">
        <v>486</v>
      </c>
      <c r="B473">
        <v>283</v>
      </c>
      <c r="C473">
        <v>31</v>
      </c>
      <c r="D473" s="1">
        <v>46035.51666666667</v>
      </c>
      <c r="E473">
        <v>299</v>
      </c>
      <c r="F473" t="s">
        <v>15</v>
      </c>
      <c r="G473" t="s">
        <v>10</v>
      </c>
      <c r="H473">
        <v>7</v>
      </c>
      <c r="I473" s="2">
        <f>VLOOKUP(B473,users!$A$1:$B$366,2,0)</f>
        <v>45858</v>
      </c>
      <c r="J473" s="3" t="str">
        <f>IFERROR(VLOOKUP(C473, merchants!$A$1:$D$41, 3, FALSE), "Data Missing")</f>
        <v>bill_payment</v>
      </c>
      <c r="K473" s="3" t="str">
        <f>IFERROR(VLOOKUP(C473, merchants!$A$1:$D$41, 4, FALSE), "Data Missing")</f>
        <v>East</v>
      </c>
      <c r="L473" s="7">
        <f>HLOOKUP(F473,payment_method!$A$1:$E$2,2,0)</f>
        <v>1.4999999999999999E-2</v>
      </c>
      <c r="M473" s="3" t="str">
        <f>IF(AND(E473&gt;5000, L473&lt;&gt;"East"), "High-Value Merchant Day", "Normal Day")</f>
        <v>Normal Day</v>
      </c>
    </row>
    <row r="474" spans="1:13" x14ac:dyDescent="0.3">
      <c r="A474" t="s">
        <v>487</v>
      </c>
      <c r="B474">
        <v>88</v>
      </c>
      <c r="C474">
        <v>6</v>
      </c>
      <c r="D474" s="1">
        <v>46043.030555555553</v>
      </c>
      <c r="E474">
        <v>49</v>
      </c>
      <c r="F474" t="s">
        <v>12</v>
      </c>
      <c r="G474" t="s">
        <v>10</v>
      </c>
      <c r="H474">
        <v>63</v>
      </c>
      <c r="I474" s="2">
        <f>VLOOKUP(B474,users!$A$1:$B$366,2,0)</f>
        <v>45441</v>
      </c>
      <c r="J474" s="3" t="str">
        <f>IFERROR(VLOOKUP(C474, merchants!$A$1:$D$41, 3, FALSE), "Data Missing")</f>
        <v>food_delivery</v>
      </c>
      <c r="K474" s="3" t="str">
        <f>IFERROR(VLOOKUP(C474, merchants!$A$1:$D$41, 4, FALSE), "Data Missing")</f>
        <v>South</v>
      </c>
      <c r="L474" s="7">
        <f>HLOOKUP(F474,payment_method!$A$1:$E$2,2,0)</f>
        <v>0</v>
      </c>
      <c r="M474" s="3" t="str">
        <f>IF(AND(E474&gt;5000, L474&lt;&gt;"East"), "High-Value Merchant Day", "Normal Day")</f>
        <v>Normal Day</v>
      </c>
    </row>
    <row r="475" spans="1:13" x14ac:dyDescent="0.3">
      <c r="A475" t="s">
        <v>488</v>
      </c>
      <c r="B475">
        <v>170</v>
      </c>
      <c r="C475">
        <v>37</v>
      </c>
      <c r="D475" s="1">
        <v>46050.570138888892</v>
      </c>
      <c r="E475">
        <v>99</v>
      </c>
      <c r="F475" t="s">
        <v>12</v>
      </c>
      <c r="G475" t="s">
        <v>25</v>
      </c>
      <c r="H475">
        <v>12</v>
      </c>
      <c r="I475" s="2">
        <f>VLOOKUP(B475,users!$A$1:$B$366,2,0)</f>
        <v>45515</v>
      </c>
      <c r="J475" s="3" t="str">
        <f>IFERROR(VLOOKUP(C475, merchants!$A$1:$D$41, 3, FALSE), "Data Missing")</f>
        <v>entertainment</v>
      </c>
      <c r="K475" s="3" t="str">
        <f>IFERROR(VLOOKUP(C475, merchants!$A$1:$D$41, 4, FALSE), "Data Missing")</f>
        <v>South</v>
      </c>
      <c r="L475" s="7">
        <f>HLOOKUP(F475,payment_method!$A$1:$E$2,2,0)</f>
        <v>0</v>
      </c>
      <c r="M475" s="3" t="str">
        <f>IF(AND(E475&gt;5000, L475&lt;&gt;"East"), "High-Value Merchant Day", "Normal Day")</f>
        <v>Normal Day</v>
      </c>
    </row>
    <row r="476" spans="1:13" x14ac:dyDescent="0.3">
      <c r="A476" t="s">
        <v>489</v>
      </c>
      <c r="B476">
        <v>22</v>
      </c>
      <c r="C476">
        <v>15</v>
      </c>
      <c r="D476" s="1">
        <v>46051.706944444442</v>
      </c>
      <c r="E476">
        <v>49</v>
      </c>
      <c r="F476" t="s">
        <v>15</v>
      </c>
      <c r="G476" t="s">
        <v>10</v>
      </c>
      <c r="H476">
        <v>27</v>
      </c>
      <c r="I476" s="2">
        <f>VLOOKUP(B476,users!$A$1:$B$366,2,0)</f>
        <v>45322</v>
      </c>
      <c r="J476" s="3" t="str">
        <f>IFERROR(VLOOKUP(C476, merchants!$A$1:$D$41, 3, FALSE), "Data Missing")</f>
        <v>travel</v>
      </c>
      <c r="K476" s="3" t="str">
        <f>IFERROR(VLOOKUP(C476, merchants!$A$1:$D$41, 4, FALSE), "Data Missing")</f>
        <v>North</v>
      </c>
      <c r="L476" s="7">
        <f>HLOOKUP(F476,payment_method!$A$1:$E$2,2,0)</f>
        <v>1.4999999999999999E-2</v>
      </c>
      <c r="M476" s="3" t="str">
        <f>IF(AND(E476&gt;5000, L476&lt;&gt;"East"), "High-Value Merchant Day", "Normal Day")</f>
        <v>Normal Day</v>
      </c>
    </row>
    <row r="477" spans="1:13" x14ac:dyDescent="0.3">
      <c r="A477" t="s">
        <v>490</v>
      </c>
      <c r="B477">
        <v>291</v>
      </c>
      <c r="C477">
        <v>31</v>
      </c>
      <c r="D477" s="1">
        <v>46051.955555555556</v>
      </c>
      <c r="E477">
        <v>49</v>
      </c>
      <c r="F477" t="s">
        <v>15</v>
      </c>
      <c r="G477" t="s">
        <v>25</v>
      </c>
      <c r="H477">
        <v>34</v>
      </c>
      <c r="I477" s="2">
        <f>VLOOKUP(B477,users!$A$1:$B$366,2,0)</f>
        <v>45437</v>
      </c>
      <c r="J477" s="3" t="str">
        <f>IFERROR(VLOOKUP(C477, merchants!$A$1:$D$41, 3, FALSE), "Data Missing")</f>
        <v>bill_payment</v>
      </c>
      <c r="K477" s="3" t="str">
        <f>IFERROR(VLOOKUP(C477, merchants!$A$1:$D$41, 4, FALSE), "Data Missing")</f>
        <v>East</v>
      </c>
      <c r="L477" s="7">
        <f>HLOOKUP(F477,payment_method!$A$1:$E$2,2,0)</f>
        <v>1.4999999999999999E-2</v>
      </c>
      <c r="M477" s="3" t="str">
        <f>IF(AND(E477&gt;5000, L477&lt;&gt;"East"), "High-Value Merchant Day", "Normal Day")</f>
        <v>Normal Day</v>
      </c>
    </row>
    <row r="478" spans="1:13" x14ac:dyDescent="0.3">
      <c r="A478" t="s">
        <v>491</v>
      </c>
      <c r="B478">
        <v>144</v>
      </c>
      <c r="C478">
        <v>35</v>
      </c>
      <c r="D478" s="1">
        <v>46024.113194444442</v>
      </c>
      <c r="E478">
        <v>1499</v>
      </c>
      <c r="F478" t="s">
        <v>12</v>
      </c>
      <c r="G478" t="s">
        <v>10</v>
      </c>
      <c r="H478">
        <v>72</v>
      </c>
      <c r="I478" s="2">
        <f>VLOOKUP(B478,users!$A$1:$B$366,2,0)</f>
        <v>45924</v>
      </c>
      <c r="J478" s="3" t="str">
        <f>IFERROR(VLOOKUP(C478, merchants!$A$1:$D$41, 3, FALSE), "Data Missing")</f>
        <v>recharge</v>
      </c>
      <c r="K478" s="3" t="str">
        <f>IFERROR(VLOOKUP(C478, merchants!$A$1:$D$41, 4, FALSE), "Data Missing")</f>
        <v>East</v>
      </c>
      <c r="L478" s="7">
        <f>HLOOKUP(F478,payment_method!$A$1:$E$2,2,0)</f>
        <v>0</v>
      </c>
      <c r="M478" s="3" t="str">
        <f>IF(AND(E478&gt;5000, L478&lt;&gt;"East"), "High-Value Merchant Day", "Normal Day")</f>
        <v>Normal Day</v>
      </c>
    </row>
    <row r="479" spans="1:13" x14ac:dyDescent="0.3">
      <c r="A479" t="s">
        <v>492</v>
      </c>
      <c r="B479">
        <v>162</v>
      </c>
      <c r="C479">
        <v>2</v>
      </c>
      <c r="D479" s="1">
        <v>46044.049305555556</v>
      </c>
      <c r="E479">
        <v>299</v>
      </c>
      <c r="F479" t="s">
        <v>9</v>
      </c>
      <c r="G479" t="s">
        <v>10</v>
      </c>
      <c r="H479">
        <v>26</v>
      </c>
      <c r="I479" s="2">
        <f>VLOOKUP(B479,users!$A$1:$B$366,2,0)</f>
        <v>45799</v>
      </c>
      <c r="J479" s="3" t="str">
        <f>IFERROR(VLOOKUP(C479, merchants!$A$1:$D$41, 3, FALSE), "Data Missing")</f>
        <v>grocery</v>
      </c>
      <c r="K479" s="3" t="str">
        <f>IFERROR(VLOOKUP(C479, merchants!$A$1:$D$41, 4, FALSE), "Data Missing")</f>
        <v>West</v>
      </c>
      <c r="L479" s="7">
        <f>HLOOKUP(F479,payment_method!$A$1:$E$2,2,0)</f>
        <v>1.2E-2</v>
      </c>
      <c r="M479" s="3" t="str">
        <f>IF(AND(E479&gt;5000, L479&lt;&gt;"East"), "High-Value Merchant Day", "Normal Day")</f>
        <v>Normal Day</v>
      </c>
    </row>
    <row r="480" spans="1:13" x14ac:dyDescent="0.3">
      <c r="A480" t="s">
        <v>493</v>
      </c>
      <c r="B480">
        <v>204</v>
      </c>
      <c r="C480">
        <v>5</v>
      </c>
      <c r="D480" s="1">
        <v>46041.2</v>
      </c>
      <c r="E480">
        <v>49</v>
      </c>
      <c r="F480" t="s">
        <v>12</v>
      </c>
      <c r="G480" t="s">
        <v>10</v>
      </c>
      <c r="H480">
        <v>38</v>
      </c>
      <c r="I480" s="2">
        <f>VLOOKUP(B480,users!$A$1:$B$366,2,0)</f>
        <v>45501</v>
      </c>
      <c r="J480" s="3" t="str">
        <f>IFERROR(VLOOKUP(C480, merchants!$A$1:$D$41, 3, FALSE), "Data Missing")</f>
        <v>recharge</v>
      </c>
      <c r="K480" s="3" t="str">
        <f>IFERROR(VLOOKUP(C480, merchants!$A$1:$D$41, 4, FALSE), "Data Missing")</f>
        <v>South</v>
      </c>
      <c r="L480" s="7">
        <f>HLOOKUP(F480,payment_method!$A$1:$E$2,2,0)</f>
        <v>0</v>
      </c>
      <c r="M480" s="3" t="str">
        <f>IF(AND(E480&gt;5000, L480&lt;&gt;"East"), "High-Value Merchant Day", "Normal Day")</f>
        <v>Normal Day</v>
      </c>
    </row>
    <row r="481" spans="1:13" x14ac:dyDescent="0.3">
      <c r="A481" t="s">
        <v>494</v>
      </c>
      <c r="B481">
        <v>291</v>
      </c>
      <c r="C481">
        <v>25</v>
      </c>
      <c r="D481" s="1">
        <v>46028.760416666664</v>
      </c>
      <c r="E481">
        <v>99</v>
      </c>
      <c r="F481" t="s">
        <v>9</v>
      </c>
      <c r="G481" t="s">
        <v>10</v>
      </c>
      <c r="H481">
        <v>86</v>
      </c>
      <c r="I481" s="2">
        <f>VLOOKUP(B481,users!$A$1:$B$366,2,0)</f>
        <v>45437</v>
      </c>
      <c r="J481" s="3" t="str">
        <f>IFERROR(VLOOKUP(C481, merchants!$A$1:$D$41, 3, FALSE), "Data Missing")</f>
        <v>travel</v>
      </c>
      <c r="K481" s="3" t="str">
        <f>IFERROR(VLOOKUP(C481, merchants!$A$1:$D$41, 4, FALSE), "Data Missing")</f>
        <v>South</v>
      </c>
      <c r="L481" s="7">
        <f>HLOOKUP(F481,payment_method!$A$1:$E$2,2,0)</f>
        <v>1.2E-2</v>
      </c>
      <c r="M481" s="3" t="str">
        <f>IF(AND(E481&gt;5000, L481&lt;&gt;"East"), "High-Value Merchant Day", "Normal Day")</f>
        <v>Normal Day</v>
      </c>
    </row>
    <row r="482" spans="1:13" x14ac:dyDescent="0.3">
      <c r="A482" t="s">
        <v>495</v>
      </c>
      <c r="B482">
        <v>197</v>
      </c>
      <c r="C482">
        <v>9</v>
      </c>
      <c r="D482" s="1">
        <v>46051.722916666666</v>
      </c>
      <c r="E482">
        <v>49</v>
      </c>
      <c r="F482" t="s">
        <v>9</v>
      </c>
      <c r="G482" t="s">
        <v>25</v>
      </c>
      <c r="H482">
        <v>88</v>
      </c>
      <c r="I482" s="2">
        <f>VLOOKUP(B482,users!$A$1:$B$366,2,0)</f>
        <v>45440</v>
      </c>
      <c r="J482" s="3" t="str">
        <f>IFERROR(VLOOKUP(C482, merchants!$A$1:$D$41, 3, FALSE), "Data Missing")</f>
        <v>ecommerce</v>
      </c>
      <c r="K482" s="3" t="str">
        <f>IFERROR(VLOOKUP(C482, merchants!$A$1:$D$41, 4, FALSE), "Data Missing")</f>
        <v>North</v>
      </c>
      <c r="L482" s="7">
        <f>HLOOKUP(F482,payment_method!$A$1:$E$2,2,0)</f>
        <v>1.2E-2</v>
      </c>
      <c r="M482" s="3" t="str">
        <f>IF(AND(E482&gt;5000, L482&lt;&gt;"East"), "High-Value Merchant Day", "Normal Day")</f>
        <v>Normal Day</v>
      </c>
    </row>
    <row r="483" spans="1:13" x14ac:dyDescent="0.3">
      <c r="A483" t="s">
        <v>496</v>
      </c>
      <c r="B483">
        <v>178</v>
      </c>
      <c r="C483">
        <v>4</v>
      </c>
      <c r="D483" s="1">
        <v>46046.105555555558</v>
      </c>
      <c r="E483">
        <v>1499</v>
      </c>
      <c r="F483" t="s">
        <v>12</v>
      </c>
      <c r="G483" t="s">
        <v>10</v>
      </c>
      <c r="H483">
        <v>12</v>
      </c>
      <c r="I483" s="2">
        <f>VLOOKUP(B483,users!$A$1:$B$366,2,0)</f>
        <v>45646</v>
      </c>
      <c r="J483" s="3" t="str">
        <f>IFERROR(VLOOKUP(C483, merchants!$A$1:$D$41, 3, FALSE), "Data Missing")</f>
        <v>ecommerce</v>
      </c>
      <c r="K483" s="3" t="str">
        <f>IFERROR(VLOOKUP(C483, merchants!$A$1:$D$41, 4, FALSE), "Data Missing")</f>
        <v>East</v>
      </c>
      <c r="L483" s="7">
        <f>HLOOKUP(F483,payment_method!$A$1:$E$2,2,0)</f>
        <v>0</v>
      </c>
      <c r="M483" s="3" t="str">
        <f>IF(AND(E483&gt;5000, L483&lt;&gt;"East"), "High-Value Merchant Day", "Normal Day")</f>
        <v>Normal Day</v>
      </c>
    </row>
    <row r="484" spans="1:13" x14ac:dyDescent="0.3">
      <c r="A484" t="s">
        <v>497</v>
      </c>
      <c r="B484">
        <v>39</v>
      </c>
      <c r="C484">
        <v>22</v>
      </c>
      <c r="D484" s="1">
        <v>46036.328472222223</v>
      </c>
      <c r="E484">
        <v>799</v>
      </c>
      <c r="F484" t="s">
        <v>15</v>
      </c>
      <c r="G484" t="s">
        <v>10</v>
      </c>
      <c r="H484">
        <v>77</v>
      </c>
      <c r="I484" s="2">
        <f>VLOOKUP(B484,users!$A$1:$B$366,2,0)</f>
        <v>45769</v>
      </c>
      <c r="J484" s="3" t="str">
        <f>IFERROR(VLOOKUP(C484, merchants!$A$1:$D$41, 3, FALSE), "Data Missing")</f>
        <v>travel</v>
      </c>
      <c r="K484" s="3" t="str">
        <f>IFERROR(VLOOKUP(C484, merchants!$A$1:$D$41, 4, FALSE), "Data Missing")</f>
        <v>South</v>
      </c>
      <c r="L484" s="7">
        <f>HLOOKUP(F484,payment_method!$A$1:$E$2,2,0)</f>
        <v>1.4999999999999999E-2</v>
      </c>
      <c r="M484" s="3" t="str">
        <f>IF(AND(E484&gt;5000, L484&lt;&gt;"East"), "High-Value Merchant Day", "Normal Day")</f>
        <v>Normal Day</v>
      </c>
    </row>
    <row r="485" spans="1:13" x14ac:dyDescent="0.3">
      <c r="A485" t="s">
        <v>498</v>
      </c>
      <c r="B485">
        <v>204</v>
      </c>
      <c r="C485">
        <v>21</v>
      </c>
      <c r="D485" s="1">
        <v>46047.818055555559</v>
      </c>
      <c r="E485">
        <v>299</v>
      </c>
      <c r="F485" t="s">
        <v>9</v>
      </c>
      <c r="G485" t="s">
        <v>10</v>
      </c>
      <c r="H485">
        <v>3</v>
      </c>
      <c r="I485" s="2">
        <f>VLOOKUP(B485,users!$A$1:$B$366,2,0)</f>
        <v>45501</v>
      </c>
      <c r="J485" s="3" t="str">
        <f>IFERROR(VLOOKUP(C485, merchants!$A$1:$D$41, 3, FALSE), "Data Missing")</f>
        <v>food_delivery</v>
      </c>
      <c r="K485" s="3" t="str">
        <f>IFERROR(VLOOKUP(C485, merchants!$A$1:$D$41, 4, FALSE), "Data Missing")</f>
        <v>East</v>
      </c>
      <c r="L485" s="7">
        <f>HLOOKUP(F485,payment_method!$A$1:$E$2,2,0)</f>
        <v>1.2E-2</v>
      </c>
      <c r="M485" s="3" t="str">
        <f>IF(AND(E485&gt;5000, L485&lt;&gt;"East"), "High-Value Merchant Day", "Normal Day")</f>
        <v>Normal Day</v>
      </c>
    </row>
    <row r="486" spans="1:13" x14ac:dyDescent="0.3">
      <c r="A486" t="s">
        <v>499</v>
      </c>
      <c r="B486">
        <v>231</v>
      </c>
      <c r="C486">
        <v>32</v>
      </c>
      <c r="D486" s="1">
        <v>46043.368055555555</v>
      </c>
      <c r="E486">
        <v>299</v>
      </c>
      <c r="F486" t="s">
        <v>12</v>
      </c>
      <c r="G486" t="s">
        <v>10</v>
      </c>
      <c r="H486">
        <v>29</v>
      </c>
      <c r="I486" s="2">
        <f>VLOOKUP(B486,users!$A$1:$B$366,2,0)</f>
        <v>45505</v>
      </c>
      <c r="J486" s="3" t="str">
        <f>IFERROR(VLOOKUP(C486, merchants!$A$1:$D$41, 3, FALSE), "Data Missing")</f>
        <v>food_delivery</v>
      </c>
      <c r="K486" s="3" t="str">
        <f>IFERROR(VLOOKUP(C486, merchants!$A$1:$D$41, 4, FALSE), "Data Missing")</f>
        <v>West</v>
      </c>
      <c r="L486" s="7">
        <f>HLOOKUP(F486,payment_method!$A$1:$E$2,2,0)</f>
        <v>0</v>
      </c>
      <c r="M486" s="3" t="str">
        <f>IF(AND(E486&gt;5000, L486&lt;&gt;"East"), "High-Value Merchant Day", "Normal Day")</f>
        <v>Normal Day</v>
      </c>
    </row>
    <row r="487" spans="1:13" x14ac:dyDescent="0.3">
      <c r="A487" t="s">
        <v>500</v>
      </c>
      <c r="B487">
        <v>222</v>
      </c>
      <c r="C487">
        <v>12</v>
      </c>
      <c r="D487" s="1">
        <v>46034.724999999999</v>
      </c>
      <c r="E487">
        <v>499</v>
      </c>
      <c r="F487" t="s">
        <v>9</v>
      </c>
      <c r="G487" t="s">
        <v>25</v>
      </c>
      <c r="H487">
        <v>87</v>
      </c>
      <c r="I487" s="2">
        <f>VLOOKUP(B487,users!$A$1:$B$366,2,0)</f>
        <v>45771</v>
      </c>
      <c r="J487" s="3" t="str">
        <f>IFERROR(VLOOKUP(C487, merchants!$A$1:$D$41, 3, FALSE), "Data Missing")</f>
        <v>ecommerce</v>
      </c>
      <c r="K487" s="3" t="str">
        <f>IFERROR(VLOOKUP(C487, merchants!$A$1:$D$41, 4, FALSE), "Data Missing")</f>
        <v>East</v>
      </c>
      <c r="L487" s="7">
        <f>HLOOKUP(F487,payment_method!$A$1:$E$2,2,0)</f>
        <v>1.2E-2</v>
      </c>
      <c r="M487" s="3" t="str">
        <f>IF(AND(E487&gt;5000, L487&lt;&gt;"East"), "High-Value Merchant Day", "Normal Day")</f>
        <v>Normal Day</v>
      </c>
    </row>
    <row r="488" spans="1:13" x14ac:dyDescent="0.3">
      <c r="A488" t="s">
        <v>501</v>
      </c>
      <c r="B488">
        <v>44</v>
      </c>
      <c r="C488">
        <v>40</v>
      </c>
      <c r="D488" s="1">
        <v>46041.89166666667</v>
      </c>
      <c r="E488">
        <v>499</v>
      </c>
      <c r="F488" t="s">
        <v>12</v>
      </c>
      <c r="G488" t="s">
        <v>10</v>
      </c>
      <c r="H488">
        <v>37</v>
      </c>
      <c r="I488" s="2">
        <f>VLOOKUP(B488,users!$A$1:$B$366,2,0)</f>
        <v>45945</v>
      </c>
      <c r="J488" s="3" t="str">
        <f>IFERROR(VLOOKUP(C488, merchants!$A$1:$D$41, 3, FALSE), "Data Missing")</f>
        <v>entertainment</v>
      </c>
      <c r="K488" s="3" t="str">
        <f>IFERROR(VLOOKUP(C488, merchants!$A$1:$D$41, 4, FALSE), "Data Missing")</f>
        <v>South</v>
      </c>
      <c r="L488" s="7">
        <f>HLOOKUP(F488,payment_method!$A$1:$E$2,2,0)</f>
        <v>0</v>
      </c>
      <c r="M488" s="3" t="str">
        <f>IF(AND(E488&gt;5000, L488&lt;&gt;"East"), "High-Value Merchant Day", "Normal Day")</f>
        <v>Normal Day</v>
      </c>
    </row>
    <row r="489" spans="1:13" x14ac:dyDescent="0.3">
      <c r="A489" t="s">
        <v>502</v>
      </c>
      <c r="B489">
        <v>38</v>
      </c>
      <c r="C489">
        <v>6</v>
      </c>
      <c r="D489" s="1">
        <v>46048.322916666664</v>
      </c>
      <c r="E489">
        <v>49</v>
      </c>
      <c r="F489" t="s">
        <v>9</v>
      </c>
      <c r="G489" t="s">
        <v>10</v>
      </c>
      <c r="H489">
        <v>34</v>
      </c>
      <c r="I489" s="2">
        <f>VLOOKUP(B489,users!$A$1:$B$366,2,0)</f>
        <v>45623</v>
      </c>
      <c r="J489" s="3" t="str">
        <f>IFERROR(VLOOKUP(C489, merchants!$A$1:$D$41, 3, FALSE), "Data Missing")</f>
        <v>food_delivery</v>
      </c>
      <c r="K489" s="3" t="str">
        <f>IFERROR(VLOOKUP(C489, merchants!$A$1:$D$41, 4, FALSE), "Data Missing")</f>
        <v>South</v>
      </c>
      <c r="L489" s="7">
        <f>HLOOKUP(F489,payment_method!$A$1:$E$2,2,0)</f>
        <v>1.2E-2</v>
      </c>
      <c r="M489" s="3" t="str">
        <f>IF(AND(E489&gt;5000, L489&lt;&gt;"East"), "High-Value Merchant Day", "Normal Day")</f>
        <v>Normal Day</v>
      </c>
    </row>
    <row r="490" spans="1:13" x14ac:dyDescent="0.3">
      <c r="A490" t="s">
        <v>503</v>
      </c>
      <c r="B490">
        <v>325</v>
      </c>
      <c r="C490">
        <v>10</v>
      </c>
      <c r="D490" s="1">
        <v>46027.53125</v>
      </c>
      <c r="E490">
        <v>49</v>
      </c>
      <c r="F490" t="s">
        <v>15</v>
      </c>
      <c r="G490" t="s">
        <v>38</v>
      </c>
      <c r="H490">
        <v>94</v>
      </c>
      <c r="I490" s="2">
        <f>VLOOKUP(B490,users!$A$1:$B$366,2,0)</f>
        <v>45990</v>
      </c>
      <c r="J490" s="3" t="str">
        <f>IFERROR(VLOOKUP(C490, merchants!$A$1:$D$41, 3, FALSE), "Data Missing")</f>
        <v>grocery</v>
      </c>
      <c r="K490" s="3" t="str">
        <f>IFERROR(VLOOKUP(C490, merchants!$A$1:$D$41, 4, FALSE), "Data Missing")</f>
        <v>West</v>
      </c>
      <c r="L490" s="7">
        <f>HLOOKUP(F490,payment_method!$A$1:$E$2,2,0)</f>
        <v>1.4999999999999999E-2</v>
      </c>
      <c r="M490" s="3" t="str">
        <f>IF(AND(E490&gt;5000, L490&lt;&gt;"East"), "High-Value Merchant Day", "Normal Day")</f>
        <v>Normal Day</v>
      </c>
    </row>
    <row r="491" spans="1:13" x14ac:dyDescent="0.3">
      <c r="A491" t="s">
        <v>504</v>
      </c>
      <c r="B491">
        <v>55</v>
      </c>
      <c r="C491">
        <v>6</v>
      </c>
      <c r="D491" s="1">
        <v>46035.432638888888</v>
      </c>
      <c r="E491">
        <v>1499</v>
      </c>
      <c r="F491" t="s">
        <v>24</v>
      </c>
      <c r="G491" t="s">
        <v>10</v>
      </c>
      <c r="H491">
        <v>0</v>
      </c>
      <c r="I491" s="2">
        <f>VLOOKUP(B491,users!$A$1:$B$366,2,0)</f>
        <v>45383</v>
      </c>
      <c r="J491" s="3" t="str">
        <f>IFERROR(VLOOKUP(C491, merchants!$A$1:$D$41, 3, FALSE), "Data Missing")</f>
        <v>food_delivery</v>
      </c>
      <c r="K491" s="3" t="str">
        <f>IFERROR(VLOOKUP(C491, merchants!$A$1:$D$41, 4, FALSE), "Data Missing")</f>
        <v>South</v>
      </c>
      <c r="L491" s="7">
        <f>HLOOKUP(F491,payment_method!$A$1:$E$2,2,0)</f>
        <v>0.02</v>
      </c>
      <c r="M491" s="3" t="str">
        <f>IF(AND(E491&gt;5000, L491&lt;&gt;"East"), "High-Value Merchant Day", "Normal Day")</f>
        <v>Normal Day</v>
      </c>
    </row>
    <row r="492" spans="1:13" x14ac:dyDescent="0.3">
      <c r="A492" t="s">
        <v>505</v>
      </c>
      <c r="B492">
        <v>139</v>
      </c>
      <c r="C492">
        <v>7</v>
      </c>
      <c r="D492" s="1">
        <v>46032.599305555559</v>
      </c>
      <c r="E492">
        <v>499</v>
      </c>
      <c r="F492" t="s">
        <v>24</v>
      </c>
      <c r="G492" t="s">
        <v>10</v>
      </c>
      <c r="H492">
        <v>16</v>
      </c>
      <c r="I492" s="2">
        <f>VLOOKUP(B492,users!$A$1:$B$366,2,0)</f>
        <v>45986</v>
      </c>
      <c r="J492" s="3" t="str">
        <f>IFERROR(VLOOKUP(C492, merchants!$A$1:$D$41, 3, FALSE), "Data Missing")</f>
        <v>food_delivery</v>
      </c>
      <c r="K492" s="3" t="str">
        <f>IFERROR(VLOOKUP(C492, merchants!$A$1:$D$41, 4, FALSE), "Data Missing")</f>
        <v>East</v>
      </c>
      <c r="L492" s="7">
        <f>HLOOKUP(F492,payment_method!$A$1:$E$2,2,0)</f>
        <v>0.02</v>
      </c>
      <c r="M492" s="3" t="str">
        <f>IF(AND(E492&gt;5000, L492&lt;&gt;"East"), "High-Value Merchant Day", "Normal Day")</f>
        <v>Normal Day</v>
      </c>
    </row>
    <row r="493" spans="1:13" x14ac:dyDescent="0.3">
      <c r="A493" t="s">
        <v>506</v>
      </c>
      <c r="B493">
        <v>230</v>
      </c>
      <c r="C493">
        <v>36</v>
      </c>
      <c r="D493" s="1">
        <v>46025.227083333331</v>
      </c>
      <c r="E493">
        <v>99</v>
      </c>
      <c r="F493" t="s">
        <v>9</v>
      </c>
      <c r="G493" t="s">
        <v>10</v>
      </c>
      <c r="H493">
        <v>71</v>
      </c>
      <c r="I493" s="2">
        <f>VLOOKUP(B493,users!$A$1:$B$366,2,0)</f>
        <v>45395</v>
      </c>
      <c r="J493" s="3" t="str">
        <f>IFERROR(VLOOKUP(C493, merchants!$A$1:$D$41, 3, FALSE), "Data Missing")</f>
        <v>entertainment</v>
      </c>
      <c r="K493" s="3" t="str">
        <f>IFERROR(VLOOKUP(C493, merchants!$A$1:$D$41, 4, FALSE), "Data Missing")</f>
        <v>East</v>
      </c>
      <c r="L493" s="7">
        <f>HLOOKUP(F493,payment_method!$A$1:$E$2,2,0)</f>
        <v>1.2E-2</v>
      </c>
      <c r="M493" s="3" t="str">
        <f>IF(AND(E493&gt;5000, L493&lt;&gt;"East"), "High-Value Merchant Day", "Normal Day")</f>
        <v>Normal Day</v>
      </c>
    </row>
    <row r="494" spans="1:13" x14ac:dyDescent="0.3">
      <c r="A494" t="s">
        <v>507</v>
      </c>
      <c r="B494">
        <v>14</v>
      </c>
      <c r="C494">
        <v>6</v>
      </c>
      <c r="D494" s="1">
        <v>46039.54583333333</v>
      </c>
      <c r="E494">
        <v>799</v>
      </c>
      <c r="F494" t="s">
        <v>24</v>
      </c>
      <c r="G494" t="s">
        <v>10</v>
      </c>
      <c r="H494">
        <v>45</v>
      </c>
      <c r="I494" s="2">
        <f>VLOOKUP(B494,users!$A$1:$B$366,2,0)</f>
        <v>45670</v>
      </c>
      <c r="J494" s="3" t="str">
        <f>IFERROR(VLOOKUP(C494, merchants!$A$1:$D$41, 3, FALSE), "Data Missing")</f>
        <v>food_delivery</v>
      </c>
      <c r="K494" s="3" t="str">
        <f>IFERROR(VLOOKUP(C494, merchants!$A$1:$D$41, 4, FALSE), "Data Missing")</f>
        <v>South</v>
      </c>
      <c r="L494" s="7">
        <f>HLOOKUP(F494,payment_method!$A$1:$E$2,2,0)</f>
        <v>0.02</v>
      </c>
      <c r="M494" s="3" t="str">
        <f>IF(AND(E494&gt;5000, L494&lt;&gt;"East"), "High-Value Merchant Day", "Normal Day")</f>
        <v>Normal Day</v>
      </c>
    </row>
    <row r="495" spans="1:13" x14ac:dyDescent="0.3">
      <c r="A495" t="s">
        <v>508</v>
      </c>
      <c r="B495">
        <v>307</v>
      </c>
      <c r="C495">
        <v>21</v>
      </c>
      <c r="D495" s="1">
        <v>46040.109722222223</v>
      </c>
      <c r="E495">
        <v>799</v>
      </c>
      <c r="F495" t="s">
        <v>12</v>
      </c>
      <c r="G495" t="s">
        <v>10</v>
      </c>
      <c r="H495">
        <v>49</v>
      </c>
      <c r="I495" s="2">
        <f>VLOOKUP(B495,users!$A$1:$B$366,2,0)</f>
        <v>45834</v>
      </c>
      <c r="J495" s="3" t="str">
        <f>IFERROR(VLOOKUP(C495, merchants!$A$1:$D$41, 3, FALSE), "Data Missing")</f>
        <v>food_delivery</v>
      </c>
      <c r="K495" s="3" t="str">
        <f>IFERROR(VLOOKUP(C495, merchants!$A$1:$D$41, 4, FALSE), "Data Missing")</f>
        <v>East</v>
      </c>
      <c r="L495" s="7">
        <f>HLOOKUP(F495,payment_method!$A$1:$E$2,2,0)</f>
        <v>0</v>
      </c>
      <c r="M495" s="3" t="str">
        <f>IF(AND(E495&gt;5000, L495&lt;&gt;"East"), "High-Value Merchant Day", "Normal Day")</f>
        <v>Normal Day</v>
      </c>
    </row>
    <row r="496" spans="1:13" x14ac:dyDescent="0.3">
      <c r="A496" t="s">
        <v>509</v>
      </c>
      <c r="B496">
        <v>199</v>
      </c>
      <c r="C496">
        <v>6</v>
      </c>
      <c r="D496" s="1">
        <v>46023.393055555556</v>
      </c>
      <c r="E496">
        <v>49</v>
      </c>
      <c r="F496" t="s">
        <v>12</v>
      </c>
      <c r="G496" t="s">
        <v>10</v>
      </c>
      <c r="H496">
        <v>92</v>
      </c>
      <c r="I496" s="2">
        <f>VLOOKUP(B496,users!$A$1:$B$366,2,0)</f>
        <v>45898</v>
      </c>
      <c r="J496" s="3" t="str">
        <f>IFERROR(VLOOKUP(C496, merchants!$A$1:$D$41, 3, FALSE), "Data Missing")</f>
        <v>food_delivery</v>
      </c>
      <c r="K496" s="3" t="str">
        <f>IFERROR(VLOOKUP(C496, merchants!$A$1:$D$41, 4, FALSE), "Data Missing")</f>
        <v>South</v>
      </c>
      <c r="L496" s="7">
        <f>HLOOKUP(F496,payment_method!$A$1:$E$2,2,0)</f>
        <v>0</v>
      </c>
      <c r="M496" s="3" t="str">
        <f>IF(AND(E496&gt;5000, L496&lt;&gt;"East"), "High-Value Merchant Day", "Normal Day")</f>
        <v>Normal Day</v>
      </c>
    </row>
    <row r="497" spans="1:13" x14ac:dyDescent="0.3">
      <c r="A497" t="s">
        <v>510</v>
      </c>
      <c r="B497">
        <v>125</v>
      </c>
      <c r="C497">
        <v>37</v>
      </c>
      <c r="D497" s="1">
        <v>46051.747916666667</v>
      </c>
      <c r="E497">
        <v>149</v>
      </c>
      <c r="F497" t="s">
        <v>9</v>
      </c>
      <c r="G497" t="s">
        <v>10</v>
      </c>
      <c r="H497">
        <v>66</v>
      </c>
      <c r="I497" s="2">
        <f>VLOOKUP(B497,users!$A$1:$B$366,2,0)</f>
        <v>45545</v>
      </c>
      <c r="J497" s="3" t="str">
        <f>IFERROR(VLOOKUP(C497, merchants!$A$1:$D$41, 3, FALSE), "Data Missing")</f>
        <v>entertainment</v>
      </c>
      <c r="K497" s="3" t="str">
        <f>IFERROR(VLOOKUP(C497, merchants!$A$1:$D$41, 4, FALSE), "Data Missing")</f>
        <v>South</v>
      </c>
      <c r="L497" s="7">
        <f>HLOOKUP(F497,payment_method!$A$1:$E$2,2,0)</f>
        <v>1.2E-2</v>
      </c>
      <c r="M497" s="3" t="str">
        <f>IF(AND(E497&gt;5000, L497&lt;&gt;"East"), "High-Value Merchant Day", "Normal Day")</f>
        <v>Normal Day</v>
      </c>
    </row>
    <row r="498" spans="1:13" x14ac:dyDescent="0.3">
      <c r="A498" t="s">
        <v>511</v>
      </c>
      <c r="B498">
        <v>87</v>
      </c>
      <c r="C498">
        <v>9</v>
      </c>
      <c r="D498" s="1">
        <v>46028.89166666667</v>
      </c>
      <c r="E498">
        <v>149</v>
      </c>
      <c r="F498" t="s">
        <v>12</v>
      </c>
      <c r="G498" t="s">
        <v>10</v>
      </c>
      <c r="H498">
        <v>34</v>
      </c>
      <c r="I498" s="2">
        <f>VLOOKUP(B498,users!$A$1:$B$366,2,0)</f>
        <v>45828</v>
      </c>
      <c r="J498" s="3" t="str">
        <f>IFERROR(VLOOKUP(C498, merchants!$A$1:$D$41, 3, FALSE), "Data Missing")</f>
        <v>ecommerce</v>
      </c>
      <c r="K498" s="3" t="str">
        <f>IFERROR(VLOOKUP(C498, merchants!$A$1:$D$41, 4, FALSE), "Data Missing")</f>
        <v>North</v>
      </c>
      <c r="L498" s="7">
        <f>HLOOKUP(F498,payment_method!$A$1:$E$2,2,0)</f>
        <v>0</v>
      </c>
      <c r="M498" s="3" t="str">
        <f>IF(AND(E498&gt;5000, L498&lt;&gt;"East"), "High-Value Merchant Day", "Normal Day")</f>
        <v>Normal Day</v>
      </c>
    </row>
    <row r="499" spans="1:13" x14ac:dyDescent="0.3">
      <c r="A499" t="s">
        <v>512</v>
      </c>
      <c r="B499">
        <v>75</v>
      </c>
      <c r="C499">
        <v>5</v>
      </c>
      <c r="D499" s="1">
        <v>46032.354861111111</v>
      </c>
      <c r="E499">
        <v>99</v>
      </c>
      <c r="F499" t="s">
        <v>12</v>
      </c>
      <c r="G499" t="s">
        <v>10</v>
      </c>
      <c r="H499">
        <v>21</v>
      </c>
      <c r="I499" s="2">
        <f>VLOOKUP(B499,users!$A$1:$B$366,2,0)</f>
        <v>45481</v>
      </c>
      <c r="J499" s="3" t="str">
        <f>IFERROR(VLOOKUP(C499, merchants!$A$1:$D$41, 3, FALSE), "Data Missing")</f>
        <v>recharge</v>
      </c>
      <c r="K499" s="3" t="str">
        <f>IFERROR(VLOOKUP(C499, merchants!$A$1:$D$41, 4, FALSE), "Data Missing")</f>
        <v>South</v>
      </c>
      <c r="L499" s="7">
        <f>HLOOKUP(F499,payment_method!$A$1:$E$2,2,0)</f>
        <v>0</v>
      </c>
      <c r="M499" s="3" t="str">
        <f>IF(AND(E499&gt;5000, L499&lt;&gt;"East"), "High-Value Merchant Day", "Normal Day")</f>
        <v>Normal Day</v>
      </c>
    </row>
    <row r="500" spans="1:13" x14ac:dyDescent="0.3">
      <c r="A500" t="s">
        <v>513</v>
      </c>
      <c r="B500">
        <v>154</v>
      </c>
      <c r="C500">
        <v>31</v>
      </c>
      <c r="D500" s="1">
        <v>46036.351388888892</v>
      </c>
      <c r="E500">
        <v>499</v>
      </c>
      <c r="F500" t="s">
        <v>9</v>
      </c>
      <c r="G500" t="s">
        <v>10</v>
      </c>
      <c r="H500">
        <v>100</v>
      </c>
      <c r="I500" s="2">
        <f>VLOOKUP(B500,users!$A$1:$B$366,2,0)</f>
        <v>45441</v>
      </c>
      <c r="J500" s="3" t="str">
        <f>IFERROR(VLOOKUP(C500, merchants!$A$1:$D$41, 3, FALSE), "Data Missing")</f>
        <v>bill_payment</v>
      </c>
      <c r="K500" s="3" t="str">
        <f>IFERROR(VLOOKUP(C500, merchants!$A$1:$D$41, 4, FALSE), "Data Missing")</f>
        <v>East</v>
      </c>
      <c r="L500" s="7">
        <f>HLOOKUP(F500,payment_method!$A$1:$E$2,2,0)</f>
        <v>1.2E-2</v>
      </c>
      <c r="M500" s="3" t="str">
        <f>IF(AND(E500&gt;5000, L500&lt;&gt;"East"), "High-Value Merchant Day", "Normal Day")</f>
        <v>Normal Day</v>
      </c>
    </row>
    <row r="501" spans="1:13" x14ac:dyDescent="0.3">
      <c r="A501" t="s">
        <v>514</v>
      </c>
      <c r="B501">
        <v>127</v>
      </c>
      <c r="C501">
        <v>32</v>
      </c>
      <c r="D501" s="1">
        <v>46025.469444444447</v>
      </c>
      <c r="E501">
        <v>149</v>
      </c>
      <c r="F501" t="s">
        <v>24</v>
      </c>
      <c r="G501" t="s">
        <v>10</v>
      </c>
      <c r="H501">
        <v>76</v>
      </c>
      <c r="I501" s="2">
        <f>VLOOKUP(B501,users!$A$1:$B$366,2,0)</f>
        <v>45531</v>
      </c>
      <c r="J501" s="3" t="str">
        <f>IFERROR(VLOOKUP(C501, merchants!$A$1:$D$41, 3, FALSE), "Data Missing")</f>
        <v>food_delivery</v>
      </c>
      <c r="K501" s="3" t="str">
        <f>IFERROR(VLOOKUP(C501, merchants!$A$1:$D$41, 4, FALSE), "Data Missing")</f>
        <v>West</v>
      </c>
      <c r="L501" s="7">
        <f>HLOOKUP(F501,payment_method!$A$1:$E$2,2,0)</f>
        <v>0.02</v>
      </c>
      <c r="M501" s="3" t="str">
        <f>IF(AND(E501&gt;5000, L501&lt;&gt;"East"), "High-Value Merchant Day", "Normal Day")</f>
        <v>Normal Day</v>
      </c>
    </row>
    <row r="502" spans="1:13" x14ac:dyDescent="0.3">
      <c r="A502" t="s">
        <v>515</v>
      </c>
      <c r="B502">
        <v>351</v>
      </c>
      <c r="C502">
        <v>7</v>
      </c>
      <c r="D502" s="1">
        <v>46052.25</v>
      </c>
      <c r="E502">
        <v>1999</v>
      </c>
      <c r="F502" t="s">
        <v>24</v>
      </c>
      <c r="G502" t="s">
        <v>38</v>
      </c>
      <c r="H502">
        <v>79</v>
      </c>
      <c r="I502" s="2">
        <f>VLOOKUP(B502,users!$A$1:$B$366,2,0)</f>
        <v>46037.25</v>
      </c>
      <c r="J502" s="3" t="str">
        <f>IFERROR(VLOOKUP(C502, merchants!$A$1:$D$41, 3, FALSE), "Data Missing")</f>
        <v>food_delivery</v>
      </c>
      <c r="K502" s="3" t="str">
        <f>IFERROR(VLOOKUP(C502, merchants!$A$1:$D$41, 4, FALSE), "Data Missing")</f>
        <v>East</v>
      </c>
      <c r="L502" s="7">
        <f>HLOOKUP(F502,payment_method!$A$1:$E$2,2,0)</f>
        <v>0.02</v>
      </c>
      <c r="M502" s="3" t="str">
        <f>IF(AND(E502&gt;5000, L502&lt;&gt;"East"), "High-Value Merchant Day", "Normal Day")</f>
        <v>Normal Day</v>
      </c>
    </row>
    <row r="503" spans="1:13" x14ac:dyDescent="0.3">
      <c r="A503" t="s">
        <v>516</v>
      </c>
      <c r="B503">
        <v>352</v>
      </c>
      <c r="C503">
        <v>40</v>
      </c>
      <c r="D503" s="1">
        <v>46033.5</v>
      </c>
      <c r="E503">
        <v>4999</v>
      </c>
      <c r="F503" t="s">
        <v>24</v>
      </c>
      <c r="G503" t="s">
        <v>38</v>
      </c>
      <c r="H503">
        <v>95</v>
      </c>
      <c r="I503" s="2">
        <f>VLOOKUP(B503,users!$A$1:$B$366,2,0)</f>
        <v>46022.5</v>
      </c>
      <c r="J503" s="3" t="str">
        <f>IFERROR(VLOOKUP(C503, merchants!$A$1:$D$41, 3, FALSE), "Data Missing")</f>
        <v>entertainment</v>
      </c>
      <c r="K503" s="3" t="str">
        <f>IFERROR(VLOOKUP(C503, merchants!$A$1:$D$41, 4, FALSE), "Data Missing")</f>
        <v>South</v>
      </c>
      <c r="L503" s="7">
        <f>HLOOKUP(F503,payment_method!$A$1:$E$2,2,0)</f>
        <v>0.02</v>
      </c>
      <c r="M503" s="3" t="str">
        <f>IF(AND(E503&gt;5000, L503&lt;&gt;"East"), "High-Value Merchant Day", "Normal Day")</f>
        <v>Normal Day</v>
      </c>
    </row>
    <row r="504" spans="1:13" x14ac:dyDescent="0.3">
      <c r="A504" t="s">
        <v>517</v>
      </c>
      <c r="B504">
        <v>353</v>
      </c>
      <c r="C504">
        <v>28</v>
      </c>
      <c r="D504" s="1">
        <v>46043.583333333336</v>
      </c>
      <c r="E504">
        <v>1999</v>
      </c>
      <c r="F504" t="s">
        <v>24</v>
      </c>
      <c r="G504" t="s">
        <v>38</v>
      </c>
      <c r="H504">
        <v>79</v>
      </c>
      <c r="I504" s="2">
        <f>VLOOKUP(B504,users!$A$1:$B$366,2,0)</f>
        <v>46032.583333333336</v>
      </c>
      <c r="J504" s="3" t="str">
        <f>IFERROR(VLOOKUP(C504, merchants!$A$1:$D$41, 3, FALSE), "Data Missing")</f>
        <v>ecommerce</v>
      </c>
      <c r="K504" s="3" t="str">
        <f>IFERROR(VLOOKUP(C504, merchants!$A$1:$D$41, 4, FALSE), "Data Missing")</f>
        <v>South</v>
      </c>
      <c r="L504" s="7">
        <f>HLOOKUP(F504,payment_method!$A$1:$E$2,2,0)</f>
        <v>0.02</v>
      </c>
      <c r="M504" s="3" t="str">
        <f>IF(AND(E504&gt;5000, L504&lt;&gt;"East"), "High-Value Merchant Day", "Normal Day")</f>
        <v>Normal Day</v>
      </c>
    </row>
    <row r="505" spans="1:13" x14ac:dyDescent="0.3">
      <c r="A505" t="s">
        <v>518</v>
      </c>
      <c r="B505">
        <v>354</v>
      </c>
      <c r="C505">
        <v>13</v>
      </c>
      <c r="D505" s="1">
        <v>46043.791666666664</v>
      </c>
      <c r="E505">
        <v>4999</v>
      </c>
      <c r="F505" t="s">
        <v>24</v>
      </c>
      <c r="G505" t="s">
        <v>38</v>
      </c>
      <c r="H505">
        <v>80</v>
      </c>
      <c r="I505" s="2">
        <f>VLOOKUP(B505,users!$A$1:$B$366,2,0)</f>
        <v>46020.791666666664</v>
      </c>
      <c r="J505" s="3" t="str">
        <f>IFERROR(VLOOKUP(C505, merchants!$A$1:$D$41, 3, FALSE), "Data Missing")</f>
        <v>travel</v>
      </c>
      <c r="K505" s="3" t="str">
        <f>IFERROR(VLOOKUP(C505, merchants!$A$1:$D$41, 4, FALSE), "Data Missing")</f>
        <v>East</v>
      </c>
      <c r="L505" s="7">
        <f>HLOOKUP(F505,payment_method!$A$1:$E$2,2,0)</f>
        <v>0.02</v>
      </c>
      <c r="M505" s="3" t="str">
        <f>IF(AND(E505&gt;5000, L505&lt;&gt;"East"), "High-Value Merchant Day", "Normal Day")</f>
        <v>Normal Day</v>
      </c>
    </row>
    <row r="506" spans="1:13" x14ac:dyDescent="0.3">
      <c r="A506" t="s">
        <v>519</v>
      </c>
      <c r="B506">
        <v>355</v>
      </c>
      <c r="C506">
        <v>19</v>
      </c>
      <c r="D506" s="1">
        <v>46038.5</v>
      </c>
      <c r="E506">
        <v>4999</v>
      </c>
      <c r="F506" t="s">
        <v>24</v>
      </c>
      <c r="G506" t="s">
        <v>38</v>
      </c>
      <c r="H506">
        <v>100</v>
      </c>
      <c r="I506" s="2">
        <f>VLOOKUP(B506,users!$A$1:$B$366,2,0)</f>
        <v>46027.5</v>
      </c>
      <c r="J506" s="3" t="str">
        <f>IFERROR(VLOOKUP(C506, merchants!$A$1:$D$41, 3, FALSE), "Data Missing")</f>
        <v>grocery</v>
      </c>
      <c r="K506" s="3" t="str">
        <f>IFERROR(VLOOKUP(C506, merchants!$A$1:$D$41, 4, FALSE), "Data Missing")</f>
        <v>North</v>
      </c>
      <c r="L506" s="7">
        <f>HLOOKUP(F506,payment_method!$A$1:$E$2,2,0)</f>
        <v>0.02</v>
      </c>
      <c r="M506" s="3" t="str">
        <f>IF(AND(E506&gt;5000, L506&lt;&gt;"East"), "High-Value Merchant Day", "Normal Day")</f>
        <v>Normal Day</v>
      </c>
    </row>
    <row r="507" spans="1:13" x14ac:dyDescent="0.3">
      <c r="A507" t="s">
        <v>520</v>
      </c>
      <c r="B507">
        <v>356</v>
      </c>
      <c r="C507">
        <v>25</v>
      </c>
      <c r="D507" s="1">
        <v>46051.291666666664</v>
      </c>
      <c r="E507">
        <v>2999</v>
      </c>
      <c r="F507" t="s">
        <v>24</v>
      </c>
      <c r="G507" t="s">
        <v>38</v>
      </c>
      <c r="H507">
        <v>96</v>
      </c>
      <c r="I507" s="2">
        <f>VLOOKUP(B507,users!$A$1:$B$366,2,0)</f>
        <v>46040.291666666664</v>
      </c>
      <c r="J507" s="3" t="str">
        <f>IFERROR(VLOOKUP(C507, merchants!$A$1:$D$41, 3, FALSE), "Data Missing")</f>
        <v>travel</v>
      </c>
      <c r="K507" s="3" t="str">
        <f>IFERROR(VLOOKUP(C507, merchants!$A$1:$D$41, 4, FALSE), "Data Missing")</f>
        <v>South</v>
      </c>
      <c r="L507" s="7">
        <f>HLOOKUP(F507,payment_method!$A$1:$E$2,2,0)</f>
        <v>0.02</v>
      </c>
      <c r="M507" s="3" t="str">
        <f>IF(AND(E507&gt;5000, L507&lt;&gt;"East"), "High-Value Merchant Day", "Normal Day")</f>
        <v>Normal Day</v>
      </c>
    </row>
    <row r="508" spans="1:13" x14ac:dyDescent="0.3">
      <c r="A508" t="s">
        <v>521</v>
      </c>
      <c r="B508">
        <v>357</v>
      </c>
      <c r="C508">
        <v>37</v>
      </c>
      <c r="D508" s="1">
        <v>46045.458333333336</v>
      </c>
      <c r="E508">
        <v>1999</v>
      </c>
      <c r="F508" t="s">
        <v>24</v>
      </c>
      <c r="G508" t="s">
        <v>38</v>
      </c>
      <c r="H508">
        <v>88</v>
      </c>
      <c r="I508" s="2">
        <f>VLOOKUP(B508,users!$A$1:$B$366,2,0)</f>
        <v>46041.458333333336</v>
      </c>
      <c r="J508" s="3" t="str">
        <f>IFERROR(VLOOKUP(C508, merchants!$A$1:$D$41, 3, FALSE), "Data Missing")</f>
        <v>entertainment</v>
      </c>
      <c r="K508" s="3" t="str">
        <f>IFERROR(VLOOKUP(C508, merchants!$A$1:$D$41, 4, FALSE), "Data Missing")</f>
        <v>South</v>
      </c>
      <c r="L508" s="7">
        <f>HLOOKUP(F508,payment_method!$A$1:$E$2,2,0)</f>
        <v>0.02</v>
      </c>
      <c r="M508" s="3" t="str">
        <f>IF(AND(E508&gt;5000, L508&lt;&gt;"East"), "High-Value Merchant Day", "Normal Day")</f>
        <v>Normal Day</v>
      </c>
    </row>
    <row r="509" spans="1:13" x14ac:dyDescent="0.3">
      <c r="A509" t="s">
        <v>522</v>
      </c>
      <c r="B509">
        <v>358</v>
      </c>
      <c r="C509">
        <v>36</v>
      </c>
      <c r="D509" s="1">
        <v>46050.208333333336</v>
      </c>
      <c r="E509">
        <v>999</v>
      </c>
      <c r="F509" t="s">
        <v>24</v>
      </c>
      <c r="G509" t="s">
        <v>38</v>
      </c>
      <c r="H509">
        <v>100</v>
      </c>
      <c r="I509" s="2">
        <f>VLOOKUP(B509,users!$A$1:$B$366,2,0)</f>
        <v>46028.208333333336</v>
      </c>
      <c r="J509" s="3" t="str">
        <f>IFERROR(VLOOKUP(C509, merchants!$A$1:$D$41, 3, FALSE), "Data Missing")</f>
        <v>entertainment</v>
      </c>
      <c r="K509" s="3" t="str">
        <f>IFERROR(VLOOKUP(C509, merchants!$A$1:$D$41, 4, FALSE), "Data Missing")</f>
        <v>East</v>
      </c>
      <c r="L509" s="7">
        <f>HLOOKUP(F509,payment_method!$A$1:$E$2,2,0)</f>
        <v>0.02</v>
      </c>
      <c r="M509" s="3" t="str">
        <f>IF(AND(E509&gt;5000, L509&lt;&gt;"East"), "High-Value Merchant Day", "Normal Day")</f>
        <v>Normal Day</v>
      </c>
    </row>
    <row r="510" spans="1:13" x14ac:dyDescent="0.3">
      <c r="A510" t="s">
        <v>523</v>
      </c>
      <c r="B510">
        <v>359</v>
      </c>
      <c r="C510">
        <v>29</v>
      </c>
      <c r="D510" s="1">
        <v>46047.916666666664</v>
      </c>
      <c r="E510">
        <v>2999</v>
      </c>
      <c r="F510" t="s">
        <v>24</v>
      </c>
      <c r="G510" t="s">
        <v>38</v>
      </c>
      <c r="H510">
        <v>96</v>
      </c>
      <c r="I510" s="2">
        <f>VLOOKUP(B510,users!$A$1:$B$366,2,0)</f>
        <v>46040.916666666664</v>
      </c>
      <c r="J510" s="3" t="str">
        <f>IFERROR(VLOOKUP(C510, merchants!$A$1:$D$41, 3, FALSE), "Data Missing")</f>
        <v>ecommerce</v>
      </c>
      <c r="K510" s="3" t="str">
        <f>IFERROR(VLOOKUP(C510, merchants!$A$1:$D$41, 4, FALSE), "Data Missing")</f>
        <v>North</v>
      </c>
      <c r="L510" s="7">
        <f>HLOOKUP(F510,payment_method!$A$1:$E$2,2,0)</f>
        <v>0.02</v>
      </c>
      <c r="M510" s="3" t="str">
        <f>IF(AND(E510&gt;5000, L510&lt;&gt;"East"), "High-Value Merchant Day", "Normal Day")</f>
        <v>Normal Day</v>
      </c>
    </row>
    <row r="511" spans="1:13" x14ac:dyDescent="0.3">
      <c r="A511" t="s">
        <v>524</v>
      </c>
      <c r="B511">
        <v>360</v>
      </c>
      <c r="C511">
        <v>32</v>
      </c>
      <c r="D511" s="1">
        <v>46035.541666666664</v>
      </c>
      <c r="E511">
        <v>1999</v>
      </c>
      <c r="F511" t="s">
        <v>24</v>
      </c>
      <c r="G511" t="s">
        <v>38</v>
      </c>
      <c r="H511">
        <v>90</v>
      </c>
      <c r="I511" s="2">
        <f>VLOOKUP(B511,users!$A$1:$B$366,2,0)</f>
        <v>46013.541666666664</v>
      </c>
      <c r="J511" s="3" t="str">
        <f>IFERROR(VLOOKUP(C511, merchants!$A$1:$D$41, 3, FALSE), "Data Missing")</f>
        <v>food_delivery</v>
      </c>
      <c r="K511" s="3" t="str">
        <f>IFERROR(VLOOKUP(C511, merchants!$A$1:$D$41, 4, FALSE), "Data Missing")</f>
        <v>West</v>
      </c>
      <c r="L511" s="7">
        <f>HLOOKUP(F511,payment_method!$A$1:$E$2,2,0)</f>
        <v>0.02</v>
      </c>
      <c r="M511" s="3" t="str">
        <f>IF(AND(E511&gt;5000, L511&lt;&gt;"East"), "High-Value Merchant Day", "Normal Day")</f>
        <v>Normal Day</v>
      </c>
    </row>
    <row r="512" spans="1:13" x14ac:dyDescent="0.3">
      <c r="A512" t="s">
        <v>525</v>
      </c>
      <c r="B512">
        <v>361</v>
      </c>
      <c r="C512">
        <v>10</v>
      </c>
      <c r="D512" s="1">
        <v>46042.291666666664</v>
      </c>
      <c r="E512">
        <v>4999</v>
      </c>
      <c r="F512" t="s">
        <v>24</v>
      </c>
      <c r="G512" t="s">
        <v>38</v>
      </c>
      <c r="H512">
        <v>95</v>
      </c>
      <c r="I512" s="2">
        <f>VLOOKUP(B512,users!$A$1:$B$366,2,0)</f>
        <v>46033.291666666664</v>
      </c>
      <c r="J512" s="3" t="str">
        <f>IFERROR(VLOOKUP(C512, merchants!$A$1:$D$41, 3, FALSE), "Data Missing")</f>
        <v>grocery</v>
      </c>
      <c r="K512" s="3" t="str">
        <f>IFERROR(VLOOKUP(C512, merchants!$A$1:$D$41, 4, FALSE), "Data Missing")</f>
        <v>West</v>
      </c>
      <c r="L512" s="7">
        <f>HLOOKUP(F512,payment_method!$A$1:$E$2,2,0)</f>
        <v>0.02</v>
      </c>
      <c r="M512" s="3" t="str">
        <f>IF(AND(E512&gt;5000, L512&lt;&gt;"East"), "High-Value Merchant Day", "Normal Day")</f>
        <v>Normal Day</v>
      </c>
    </row>
    <row r="513" spans="1:13" x14ac:dyDescent="0.3">
      <c r="A513" t="s">
        <v>526</v>
      </c>
      <c r="B513">
        <v>362</v>
      </c>
      <c r="C513">
        <v>39</v>
      </c>
      <c r="D513" s="1">
        <v>46045.083333333336</v>
      </c>
      <c r="E513">
        <v>4999</v>
      </c>
      <c r="F513" t="s">
        <v>24</v>
      </c>
      <c r="G513" t="s">
        <v>38</v>
      </c>
      <c r="H513">
        <v>88</v>
      </c>
      <c r="I513" s="2">
        <f>VLOOKUP(B513,users!$A$1:$B$366,2,0)</f>
        <v>46030.083333333336</v>
      </c>
      <c r="J513" s="3" t="str">
        <f>IFERROR(VLOOKUP(C513, merchants!$A$1:$D$41, 3, FALSE), "Data Missing")</f>
        <v>entertainment</v>
      </c>
      <c r="K513" s="3" t="str">
        <f>IFERROR(VLOOKUP(C513, merchants!$A$1:$D$41, 4, FALSE), "Data Missing")</f>
        <v>North</v>
      </c>
      <c r="L513" s="7">
        <f>HLOOKUP(F513,payment_method!$A$1:$E$2,2,0)</f>
        <v>0.02</v>
      </c>
      <c r="M513" s="3" t="str">
        <f>IF(AND(E513&gt;5000, L513&lt;&gt;"East"), "High-Value Merchant Day", "Normal Day")</f>
        <v>Normal Day</v>
      </c>
    </row>
    <row r="514" spans="1:13" x14ac:dyDescent="0.3">
      <c r="A514" t="s">
        <v>527</v>
      </c>
      <c r="B514">
        <v>363</v>
      </c>
      <c r="C514">
        <v>27</v>
      </c>
      <c r="D514" s="1">
        <v>46045.708333333336</v>
      </c>
      <c r="E514">
        <v>999</v>
      </c>
      <c r="F514" t="s">
        <v>24</v>
      </c>
      <c r="G514" t="s">
        <v>38</v>
      </c>
      <c r="H514">
        <v>95</v>
      </c>
      <c r="I514" s="2">
        <f>VLOOKUP(B514,users!$A$1:$B$366,2,0)</f>
        <v>46028.708333333336</v>
      </c>
      <c r="J514" s="3" t="str">
        <f>IFERROR(VLOOKUP(C514, merchants!$A$1:$D$41, 3, FALSE), "Data Missing")</f>
        <v>ecommerce</v>
      </c>
      <c r="K514" s="3" t="str">
        <f>IFERROR(VLOOKUP(C514, merchants!$A$1:$D$41, 4, FALSE), "Data Missing")</f>
        <v>North</v>
      </c>
      <c r="L514" s="7">
        <f>HLOOKUP(F514,payment_method!$A$1:$E$2,2,0)</f>
        <v>0.02</v>
      </c>
      <c r="M514" s="3" t="str">
        <f>IF(AND(E514&gt;5000, L514&lt;&gt;"East"), "High-Value Merchant Day", "Normal Day")</f>
        <v>Normal Day</v>
      </c>
    </row>
    <row r="515" spans="1:13" x14ac:dyDescent="0.3">
      <c r="A515" t="s">
        <v>528</v>
      </c>
      <c r="B515">
        <v>364</v>
      </c>
      <c r="C515">
        <v>39</v>
      </c>
      <c r="D515" s="1">
        <v>46044.916666666664</v>
      </c>
      <c r="E515">
        <v>999</v>
      </c>
      <c r="F515" t="s">
        <v>24</v>
      </c>
      <c r="G515" t="s">
        <v>38</v>
      </c>
      <c r="H515">
        <v>73</v>
      </c>
      <c r="I515" s="2">
        <f>VLOOKUP(B515,users!$A$1:$B$366,2,0)</f>
        <v>46026.916666666664</v>
      </c>
      <c r="J515" s="3" t="str">
        <f>IFERROR(VLOOKUP(C515, merchants!$A$1:$D$41, 3, FALSE), "Data Missing")</f>
        <v>entertainment</v>
      </c>
      <c r="K515" s="3" t="str">
        <f>IFERROR(VLOOKUP(C515, merchants!$A$1:$D$41, 4, FALSE), "Data Missing")</f>
        <v>North</v>
      </c>
      <c r="L515" s="7">
        <f>HLOOKUP(F515,payment_method!$A$1:$E$2,2,0)</f>
        <v>0.02</v>
      </c>
      <c r="M515" s="3" t="str">
        <f>IF(AND(E515&gt;5000, L515&lt;&gt;"East"), "High-Value Merchant Day", "Normal Day")</f>
        <v>Normal Day</v>
      </c>
    </row>
    <row r="516" spans="1:13" x14ac:dyDescent="0.3">
      <c r="A516" t="s">
        <v>529</v>
      </c>
      <c r="B516">
        <v>365</v>
      </c>
      <c r="C516">
        <v>23</v>
      </c>
      <c r="D516" s="1">
        <v>46040.875</v>
      </c>
      <c r="E516">
        <v>1999</v>
      </c>
      <c r="F516" t="s">
        <v>24</v>
      </c>
      <c r="G516" t="s">
        <v>38</v>
      </c>
      <c r="H516">
        <v>90</v>
      </c>
      <c r="I516" s="2">
        <f>VLOOKUP(B516,users!$A$1:$B$366,2,0)</f>
        <v>46018.875</v>
      </c>
      <c r="J516" s="3" t="str">
        <f>IFERROR(VLOOKUP(C516, merchants!$A$1:$D$41, 3, FALSE), "Data Missing")</f>
        <v>travel</v>
      </c>
      <c r="K516" s="3" t="str">
        <f>IFERROR(VLOOKUP(C516, merchants!$A$1:$D$41, 4, FALSE), "Data Missing")</f>
        <v>North</v>
      </c>
      <c r="L516" s="7">
        <f>HLOOKUP(F516,payment_method!$A$1:$E$2,2,0)</f>
        <v>0.02</v>
      </c>
      <c r="M516" s="3" t="str">
        <f>IF(AND(E516&gt;5000, L516&lt;&gt;"East"), "High-Value Merchant Day", "Normal Day")</f>
        <v>Normal Day</v>
      </c>
    </row>
    <row r="517" spans="1:13" x14ac:dyDescent="0.3">
      <c r="A517" t="s">
        <v>530</v>
      </c>
      <c r="B517">
        <v>314</v>
      </c>
      <c r="C517">
        <v>26</v>
      </c>
      <c r="D517" s="1">
        <v>46024.75</v>
      </c>
      <c r="E517">
        <v>399</v>
      </c>
      <c r="F517" t="s">
        <v>24</v>
      </c>
      <c r="G517" t="s">
        <v>25</v>
      </c>
      <c r="H517">
        <v>87</v>
      </c>
      <c r="I517" s="2">
        <f>VLOOKUP(B517,users!$A$1:$B$366,2,0)</f>
        <v>45344</v>
      </c>
      <c r="J517" s="3" t="str">
        <f>IFERROR(VLOOKUP(C517, merchants!$A$1:$D$41, 3, FALSE), "Data Missing")</f>
        <v>food_delivery</v>
      </c>
      <c r="K517" s="3" t="str">
        <f>IFERROR(VLOOKUP(C517, merchants!$A$1:$D$41, 4, FALSE), "Data Missing")</f>
        <v>East</v>
      </c>
      <c r="L517" s="7">
        <f>HLOOKUP(F517,payment_method!$A$1:$E$2,2,0)</f>
        <v>0.02</v>
      </c>
      <c r="M517" s="3" t="str">
        <f>IF(AND(E517&gt;5000, L517&lt;&gt;"East"), "High-Value Merchant Day", "Normal Day")</f>
        <v>Normal Day</v>
      </c>
    </row>
    <row r="518" spans="1:13" x14ac:dyDescent="0.3">
      <c r="A518" t="s">
        <v>531</v>
      </c>
      <c r="B518">
        <v>314</v>
      </c>
      <c r="C518">
        <v>7</v>
      </c>
      <c r="D518" s="1">
        <v>46024.750694444447</v>
      </c>
      <c r="E518">
        <v>299</v>
      </c>
      <c r="F518" t="s">
        <v>24</v>
      </c>
      <c r="G518" t="s">
        <v>25</v>
      </c>
      <c r="H518">
        <v>66</v>
      </c>
      <c r="I518" s="2">
        <f>VLOOKUP(B518,users!$A$1:$B$366,2,0)</f>
        <v>45344</v>
      </c>
      <c r="J518" s="3" t="str">
        <f>IFERROR(VLOOKUP(C518, merchants!$A$1:$D$41, 3, FALSE), "Data Missing")</f>
        <v>food_delivery</v>
      </c>
      <c r="K518" s="3" t="str">
        <f>IFERROR(VLOOKUP(C518, merchants!$A$1:$D$41, 4, FALSE), "Data Missing")</f>
        <v>East</v>
      </c>
      <c r="L518" s="7">
        <f>HLOOKUP(F518,payment_method!$A$1:$E$2,2,0)</f>
        <v>0.02</v>
      </c>
      <c r="M518" s="3" t="str">
        <f>IF(AND(E518&gt;5000, L518&lt;&gt;"East"), "High-Value Merchant Day", "Normal Day")</f>
        <v>Normal Day</v>
      </c>
    </row>
    <row r="519" spans="1:13" x14ac:dyDescent="0.3">
      <c r="A519" t="s">
        <v>532</v>
      </c>
      <c r="B519">
        <v>314</v>
      </c>
      <c r="C519">
        <v>17</v>
      </c>
      <c r="D519" s="1">
        <v>46024.751388888886</v>
      </c>
      <c r="E519">
        <v>299</v>
      </c>
      <c r="F519" t="s">
        <v>24</v>
      </c>
      <c r="G519" t="s">
        <v>25</v>
      </c>
      <c r="H519">
        <v>92</v>
      </c>
      <c r="I519" s="2">
        <f>VLOOKUP(B519,users!$A$1:$B$366,2,0)</f>
        <v>45344</v>
      </c>
      <c r="J519" s="3" t="str">
        <f>IFERROR(VLOOKUP(C519, merchants!$A$1:$D$41, 3, FALSE), "Data Missing")</f>
        <v>grocery</v>
      </c>
      <c r="K519" s="3" t="str">
        <f>IFERROR(VLOOKUP(C519, merchants!$A$1:$D$41, 4, FALSE), "Data Missing")</f>
        <v>North</v>
      </c>
      <c r="L519" s="7">
        <f>HLOOKUP(F519,payment_method!$A$1:$E$2,2,0)</f>
        <v>0.02</v>
      </c>
      <c r="M519" s="3" t="str">
        <f>IF(AND(E519&gt;5000, L519&lt;&gt;"East"), "High-Value Merchant Day", "Normal Day")</f>
        <v>Normal Day</v>
      </c>
    </row>
    <row r="520" spans="1:13" x14ac:dyDescent="0.3">
      <c r="A520" t="s">
        <v>533</v>
      </c>
      <c r="B520">
        <v>314</v>
      </c>
      <c r="C520">
        <v>34</v>
      </c>
      <c r="D520" s="1">
        <v>46024.752083333333</v>
      </c>
      <c r="E520">
        <v>499</v>
      </c>
      <c r="F520" t="s">
        <v>24</v>
      </c>
      <c r="G520" t="s">
        <v>10</v>
      </c>
      <c r="H520">
        <v>74</v>
      </c>
      <c r="I520" s="2">
        <f>VLOOKUP(B520,users!$A$1:$B$366,2,0)</f>
        <v>45344</v>
      </c>
      <c r="J520" s="3" t="str">
        <f>IFERROR(VLOOKUP(C520, merchants!$A$1:$D$41, 3, FALSE), "Data Missing")</f>
        <v>travel</v>
      </c>
      <c r="K520" s="3" t="str">
        <f>IFERROR(VLOOKUP(C520, merchants!$A$1:$D$41, 4, FALSE), "Data Missing")</f>
        <v>South</v>
      </c>
      <c r="L520" s="7">
        <f>HLOOKUP(F520,payment_method!$A$1:$E$2,2,0)</f>
        <v>0.02</v>
      </c>
      <c r="M520" s="3" t="str">
        <f>IF(AND(E520&gt;5000, L520&lt;&gt;"East"), "High-Value Merchant Day", "Normal Day")</f>
        <v>Normal Day</v>
      </c>
    </row>
    <row r="521" spans="1:13" x14ac:dyDescent="0.3">
      <c r="A521" t="s">
        <v>534</v>
      </c>
      <c r="B521">
        <v>229</v>
      </c>
      <c r="C521">
        <v>30</v>
      </c>
      <c r="D521" s="1">
        <v>46034.5</v>
      </c>
      <c r="E521">
        <v>499</v>
      </c>
      <c r="F521" t="s">
        <v>24</v>
      </c>
      <c r="G521" t="s">
        <v>25</v>
      </c>
      <c r="H521">
        <v>92</v>
      </c>
      <c r="I521" s="2">
        <f>VLOOKUP(B521,users!$A$1:$B$366,2,0)</f>
        <v>45942</v>
      </c>
      <c r="J521" s="3" t="str">
        <f>IFERROR(VLOOKUP(C521, merchants!$A$1:$D$41, 3, FALSE), "Data Missing")</f>
        <v>travel</v>
      </c>
      <c r="K521" s="3" t="str">
        <f>IFERROR(VLOOKUP(C521, merchants!$A$1:$D$41, 4, FALSE), "Data Missing")</f>
        <v>West</v>
      </c>
      <c r="L521" s="7">
        <f>HLOOKUP(F521,payment_method!$A$1:$E$2,2,0)</f>
        <v>0.02</v>
      </c>
      <c r="M521" s="3" t="str">
        <f>IF(AND(E521&gt;5000, L521&lt;&gt;"East"), "High-Value Merchant Day", "Normal Day")</f>
        <v>Normal Day</v>
      </c>
    </row>
    <row r="522" spans="1:13" x14ac:dyDescent="0.3">
      <c r="A522" t="s">
        <v>535</v>
      </c>
      <c r="B522">
        <v>229</v>
      </c>
      <c r="C522">
        <v>10</v>
      </c>
      <c r="D522" s="1">
        <v>46034.500694444447</v>
      </c>
      <c r="E522">
        <v>399</v>
      </c>
      <c r="F522" t="s">
        <v>24</v>
      </c>
      <c r="G522" t="s">
        <v>25</v>
      </c>
      <c r="H522">
        <v>61</v>
      </c>
      <c r="I522" s="2">
        <f>VLOOKUP(B522,users!$A$1:$B$366,2,0)</f>
        <v>45942</v>
      </c>
      <c r="J522" s="3" t="str">
        <f>IFERROR(VLOOKUP(C522, merchants!$A$1:$D$41, 3, FALSE), "Data Missing")</f>
        <v>grocery</v>
      </c>
      <c r="K522" s="3" t="str">
        <f>IFERROR(VLOOKUP(C522, merchants!$A$1:$D$41, 4, FALSE), "Data Missing")</f>
        <v>West</v>
      </c>
      <c r="L522" s="7">
        <f>HLOOKUP(F522,payment_method!$A$1:$E$2,2,0)</f>
        <v>0.02</v>
      </c>
      <c r="M522" s="3" t="str">
        <f>IF(AND(E522&gt;5000, L522&lt;&gt;"East"), "High-Value Merchant Day", "Normal Day")</f>
        <v>Normal Day</v>
      </c>
    </row>
    <row r="523" spans="1:13" x14ac:dyDescent="0.3">
      <c r="A523" t="s">
        <v>536</v>
      </c>
      <c r="B523">
        <v>229</v>
      </c>
      <c r="C523">
        <v>31</v>
      </c>
      <c r="D523" s="1">
        <v>46034.501388888886</v>
      </c>
      <c r="E523">
        <v>299</v>
      </c>
      <c r="F523" t="s">
        <v>24</v>
      </c>
      <c r="G523" t="s">
        <v>25</v>
      </c>
      <c r="H523">
        <v>78</v>
      </c>
      <c r="I523" s="2">
        <f>VLOOKUP(B523,users!$A$1:$B$366,2,0)</f>
        <v>45942</v>
      </c>
      <c r="J523" s="3" t="str">
        <f>IFERROR(VLOOKUP(C523, merchants!$A$1:$D$41, 3, FALSE), "Data Missing")</f>
        <v>bill_payment</v>
      </c>
      <c r="K523" s="3" t="str">
        <f>IFERROR(VLOOKUP(C523, merchants!$A$1:$D$41, 4, FALSE), "Data Missing")</f>
        <v>East</v>
      </c>
      <c r="L523" s="7">
        <f>HLOOKUP(F523,payment_method!$A$1:$E$2,2,0)</f>
        <v>0.02</v>
      </c>
      <c r="M523" s="3" t="str">
        <f>IF(AND(E523&gt;5000, L523&lt;&gt;"East"), "High-Value Merchant Day", "Normal Day")</f>
        <v>Normal Day</v>
      </c>
    </row>
    <row r="524" spans="1:13" x14ac:dyDescent="0.3">
      <c r="A524" t="s">
        <v>537</v>
      </c>
      <c r="B524">
        <v>229</v>
      </c>
      <c r="C524">
        <v>27</v>
      </c>
      <c r="D524" s="1">
        <v>46034.502083333333</v>
      </c>
      <c r="E524">
        <v>299</v>
      </c>
      <c r="F524" t="s">
        <v>24</v>
      </c>
      <c r="G524" t="s">
        <v>10</v>
      </c>
      <c r="H524">
        <v>67</v>
      </c>
      <c r="I524" s="2">
        <f>VLOOKUP(B524,users!$A$1:$B$366,2,0)</f>
        <v>45942</v>
      </c>
      <c r="J524" s="3" t="str">
        <f>IFERROR(VLOOKUP(C524, merchants!$A$1:$D$41, 3, FALSE), "Data Missing")</f>
        <v>ecommerce</v>
      </c>
      <c r="K524" s="3" t="str">
        <f>IFERROR(VLOOKUP(C524, merchants!$A$1:$D$41, 4, FALSE), "Data Missing")</f>
        <v>North</v>
      </c>
      <c r="L524" s="7">
        <f>HLOOKUP(F524,payment_method!$A$1:$E$2,2,0)</f>
        <v>0.02</v>
      </c>
      <c r="M524" s="3" t="str">
        <f>IF(AND(E524&gt;5000, L524&lt;&gt;"East"), "High-Value Merchant Day", "Normal Day")</f>
        <v>Normal Day</v>
      </c>
    </row>
    <row r="525" spans="1:13" x14ac:dyDescent="0.3">
      <c r="A525" t="s">
        <v>538</v>
      </c>
      <c r="B525">
        <v>73</v>
      </c>
      <c r="C525">
        <v>22</v>
      </c>
      <c r="D525" s="1">
        <v>46034.375</v>
      </c>
      <c r="E525">
        <v>399</v>
      </c>
      <c r="F525" t="s">
        <v>24</v>
      </c>
      <c r="G525" t="s">
        <v>25</v>
      </c>
      <c r="H525">
        <v>73</v>
      </c>
      <c r="I525" s="2">
        <f>VLOOKUP(B525,users!$A$1:$B$366,2,0)</f>
        <v>45990</v>
      </c>
      <c r="J525" s="3" t="str">
        <f>IFERROR(VLOOKUP(C525, merchants!$A$1:$D$41, 3, FALSE), "Data Missing")</f>
        <v>travel</v>
      </c>
      <c r="K525" s="3" t="str">
        <f>IFERROR(VLOOKUP(C525, merchants!$A$1:$D$41, 4, FALSE), "Data Missing")</f>
        <v>South</v>
      </c>
      <c r="L525" s="7">
        <f>HLOOKUP(F525,payment_method!$A$1:$E$2,2,0)</f>
        <v>0.02</v>
      </c>
      <c r="M525" s="3" t="str">
        <f>IF(AND(E525&gt;5000, L525&lt;&gt;"East"), "High-Value Merchant Day", "Normal Day")</f>
        <v>Normal Day</v>
      </c>
    </row>
    <row r="526" spans="1:13" x14ac:dyDescent="0.3">
      <c r="A526" t="s">
        <v>539</v>
      </c>
      <c r="B526">
        <v>73</v>
      </c>
      <c r="C526">
        <v>34</v>
      </c>
      <c r="D526" s="1">
        <v>46034.375694444447</v>
      </c>
      <c r="E526">
        <v>399</v>
      </c>
      <c r="F526" t="s">
        <v>24</v>
      </c>
      <c r="G526" t="s">
        <v>25</v>
      </c>
      <c r="H526">
        <v>82</v>
      </c>
      <c r="I526" s="2">
        <f>VLOOKUP(B526,users!$A$1:$B$366,2,0)</f>
        <v>45990</v>
      </c>
      <c r="J526" s="3" t="str">
        <f>IFERROR(VLOOKUP(C526, merchants!$A$1:$D$41, 3, FALSE), "Data Missing")</f>
        <v>travel</v>
      </c>
      <c r="K526" s="3" t="str">
        <f>IFERROR(VLOOKUP(C526, merchants!$A$1:$D$41, 4, FALSE), "Data Missing")</f>
        <v>South</v>
      </c>
      <c r="L526" s="7">
        <f>HLOOKUP(F526,payment_method!$A$1:$E$2,2,0)</f>
        <v>0.02</v>
      </c>
      <c r="M526" s="3" t="str">
        <f>IF(AND(E526&gt;5000, L526&lt;&gt;"East"), "High-Value Merchant Day", "Normal Day")</f>
        <v>Normal Day</v>
      </c>
    </row>
    <row r="527" spans="1:13" x14ac:dyDescent="0.3">
      <c r="A527" t="s">
        <v>540</v>
      </c>
      <c r="B527">
        <v>73</v>
      </c>
      <c r="C527">
        <v>31</v>
      </c>
      <c r="D527" s="1">
        <v>46034.376388888886</v>
      </c>
      <c r="E527">
        <v>299</v>
      </c>
      <c r="F527" t="s">
        <v>24</v>
      </c>
      <c r="G527" t="s">
        <v>25</v>
      </c>
      <c r="H527">
        <v>88</v>
      </c>
      <c r="I527" s="2">
        <f>VLOOKUP(B527,users!$A$1:$B$366,2,0)</f>
        <v>45990</v>
      </c>
      <c r="J527" s="3" t="str">
        <f>IFERROR(VLOOKUP(C527, merchants!$A$1:$D$41, 3, FALSE), "Data Missing")</f>
        <v>bill_payment</v>
      </c>
      <c r="K527" s="3" t="str">
        <f>IFERROR(VLOOKUP(C527, merchants!$A$1:$D$41, 4, FALSE), "Data Missing")</f>
        <v>East</v>
      </c>
      <c r="L527" s="7">
        <f>HLOOKUP(F527,payment_method!$A$1:$E$2,2,0)</f>
        <v>0.02</v>
      </c>
      <c r="M527" s="3" t="str">
        <f>IF(AND(E527&gt;5000, L527&lt;&gt;"East"), "High-Value Merchant Day", "Normal Day")</f>
        <v>Normal Day</v>
      </c>
    </row>
    <row r="528" spans="1:13" x14ac:dyDescent="0.3">
      <c r="A528" t="s">
        <v>541</v>
      </c>
      <c r="B528">
        <v>73</v>
      </c>
      <c r="C528">
        <v>29</v>
      </c>
      <c r="D528" s="1">
        <v>46034.377083333333</v>
      </c>
      <c r="E528">
        <v>399</v>
      </c>
      <c r="F528" t="s">
        <v>24</v>
      </c>
      <c r="G528" t="s">
        <v>10</v>
      </c>
      <c r="H528">
        <v>64</v>
      </c>
      <c r="I528" s="2">
        <f>VLOOKUP(B528,users!$A$1:$B$366,2,0)</f>
        <v>45990</v>
      </c>
      <c r="J528" s="3" t="str">
        <f>IFERROR(VLOOKUP(C528, merchants!$A$1:$D$41, 3, FALSE), "Data Missing")</f>
        <v>ecommerce</v>
      </c>
      <c r="K528" s="3" t="str">
        <f>IFERROR(VLOOKUP(C528, merchants!$A$1:$D$41, 4, FALSE), "Data Missing")</f>
        <v>North</v>
      </c>
      <c r="L528" s="7">
        <f>HLOOKUP(F528,payment_method!$A$1:$E$2,2,0)</f>
        <v>0.02</v>
      </c>
      <c r="M528" s="3" t="str">
        <f>IF(AND(E528&gt;5000, L528&lt;&gt;"East"), "High-Value Merchant Day", "Normal Day")</f>
        <v>Normal Day</v>
      </c>
    </row>
    <row r="529" spans="1:13" x14ac:dyDescent="0.3">
      <c r="A529" t="s">
        <v>542</v>
      </c>
      <c r="B529">
        <v>154</v>
      </c>
      <c r="C529">
        <v>8</v>
      </c>
      <c r="D529" s="1">
        <v>46024.916666666664</v>
      </c>
      <c r="E529">
        <v>299</v>
      </c>
      <c r="F529" t="s">
        <v>24</v>
      </c>
      <c r="G529" t="s">
        <v>25</v>
      </c>
      <c r="H529">
        <v>81</v>
      </c>
      <c r="I529" s="2">
        <f>VLOOKUP(B529,users!$A$1:$B$366,2,0)</f>
        <v>45441</v>
      </c>
      <c r="J529" s="3" t="str">
        <f>IFERROR(VLOOKUP(C529, merchants!$A$1:$D$41, 3, FALSE), "Data Missing")</f>
        <v>food_delivery</v>
      </c>
      <c r="K529" s="3" t="str">
        <f>IFERROR(VLOOKUP(C529, merchants!$A$1:$D$41, 4, FALSE), "Data Missing")</f>
        <v>North</v>
      </c>
      <c r="L529" s="7">
        <f>HLOOKUP(F529,payment_method!$A$1:$E$2,2,0)</f>
        <v>0.02</v>
      </c>
      <c r="M529" s="3" t="str">
        <f>IF(AND(E529&gt;5000, L529&lt;&gt;"East"), "High-Value Merchant Day", "Normal Day")</f>
        <v>Normal Day</v>
      </c>
    </row>
    <row r="530" spans="1:13" x14ac:dyDescent="0.3">
      <c r="A530" t="s">
        <v>543</v>
      </c>
      <c r="B530">
        <v>154</v>
      </c>
      <c r="C530">
        <v>7</v>
      </c>
      <c r="D530" s="1">
        <v>46024.917361111111</v>
      </c>
      <c r="E530">
        <v>499</v>
      </c>
      <c r="F530" t="s">
        <v>24</v>
      </c>
      <c r="G530" t="s">
        <v>25</v>
      </c>
      <c r="H530">
        <v>70</v>
      </c>
      <c r="I530" s="2">
        <f>VLOOKUP(B530,users!$A$1:$B$366,2,0)</f>
        <v>45441</v>
      </c>
      <c r="J530" s="3" t="str">
        <f>IFERROR(VLOOKUP(C530, merchants!$A$1:$D$41, 3, FALSE), "Data Missing")</f>
        <v>food_delivery</v>
      </c>
      <c r="K530" s="3" t="str">
        <f>IFERROR(VLOOKUP(C530, merchants!$A$1:$D$41, 4, FALSE), "Data Missing")</f>
        <v>East</v>
      </c>
      <c r="L530" s="7">
        <f>HLOOKUP(F530,payment_method!$A$1:$E$2,2,0)</f>
        <v>0.02</v>
      </c>
      <c r="M530" s="3" t="str">
        <f>IF(AND(E530&gt;5000, L530&lt;&gt;"East"), "High-Value Merchant Day", "Normal Day")</f>
        <v>Normal Day</v>
      </c>
    </row>
    <row r="531" spans="1:13" x14ac:dyDescent="0.3">
      <c r="A531" t="s">
        <v>544</v>
      </c>
      <c r="B531">
        <v>154</v>
      </c>
      <c r="C531">
        <v>16</v>
      </c>
      <c r="D531" s="1">
        <v>46024.918055555558</v>
      </c>
      <c r="E531">
        <v>499</v>
      </c>
      <c r="F531" t="s">
        <v>24</v>
      </c>
      <c r="G531" t="s">
        <v>25</v>
      </c>
      <c r="H531">
        <v>71</v>
      </c>
      <c r="I531" s="2">
        <f>VLOOKUP(B531,users!$A$1:$B$366,2,0)</f>
        <v>45441</v>
      </c>
      <c r="J531" s="3" t="str">
        <f>IFERROR(VLOOKUP(C531, merchants!$A$1:$D$41, 3, FALSE), "Data Missing")</f>
        <v>bill_payment</v>
      </c>
      <c r="K531" s="3" t="str">
        <f>IFERROR(VLOOKUP(C531, merchants!$A$1:$D$41, 4, FALSE), "Data Missing")</f>
        <v>West</v>
      </c>
      <c r="L531" s="7">
        <f>HLOOKUP(F531,payment_method!$A$1:$E$2,2,0)</f>
        <v>0.02</v>
      </c>
      <c r="M531" s="3" t="str">
        <f>IF(AND(E531&gt;5000, L531&lt;&gt;"East"), "High-Value Merchant Day", "Normal Day")</f>
        <v>Normal Day</v>
      </c>
    </row>
    <row r="532" spans="1:13" x14ac:dyDescent="0.3">
      <c r="A532" t="s">
        <v>545</v>
      </c>
      <c r="B532">
        <v>154</v>
      </c>
      <c r="C532">
        <v>36</v>
      </c>
      <c r="D532" s="1">
        <v>46024.918749999997</v>
      </c>
      <c r="E532">
        <v>299</v>
      </c>
      <c r="F532" t="s">
        <v>24</v>
      </c>
      <c r="G532" t="s">
        <v>10</v>
      </c>
      <c r="H532">
        <v>81</v>
      </c>
      <c r="I532" s="2">
        <f>VLOOKUP(B532,users!$A$1:$B$366,2,0)</f>
        <v>45441</v>
      </c>
      <c r="J532" s="3" t="str">
        <f>IFERROR(VLOOKUP(C532, merchants!$A$1:$D$41, 3, FALSE), "Data Missing")</f>
        <v>entertainment</v>
      </c>
      <c r="K532" s="3" t="str">
        <f>IFERROR(VLOOKUP(C532, merchants!$A$1:$D$41, 4, FALSE), "Data Missing")</f>
        <v>East</v>
      </c>
      <c r="L532" s="7">
        <f>HLOOKUP(F532,payment_method!$A$1:$E$2,2,0)</f>
        <v>0.02</v>
      </c>
      <c r="M532" s="3" t="str">
        <f>IF(AND(E532&gt;5000, L532&lt;&gt;"East"), "High-Value Merchant Day", "Normal Day")</f>
        <v>Normal Day</v>
      </c>
    </row>
    <row r="533" spans="1:13" x14ac:dyDescent="0.3">
      <c r="A533" t="s">
        <v>546</v>
      </c>
      <c r="B533">
        <v>287</v>
      </c>
      <c r="C533">
        <v>15</v>
      </c>
      <c r="D533" s="1">
        <v>46036.583333333336</v>
      </c>
      <c r="E533">
        <v>399</v>
      </c>
      <c r="F533" t="s">
        <v>24</v>
      </c>
      <c r="G533" t="s">
        <v>25</v>
      </c>
      <c r="H533">
        <v>71</v>
      </c>
      <c r="I533" s="2">
        <f>VLOOKUP(B533,users!$A$1:$B$366,2,0)</f>
        <v>45615</v>
      </c>
      <c r="J533" s="3" t="str">
        <f>IFERROR(VLOOKUP(C533, merchants!$A$1:$D$41, 3, FALSE), "Data Missing")</f>
        <v>travel</v>
      </c>
      <c r="K533" s="3" t="str">
        <f>IFERROR(VLOOKUP(C533, merchants!$A$1:$D$41, 4, FALSE), "Data Missing")</f>
        <v>North</v>
      </c>
      <c r="L533" s="7">
        <f>HLOOKUP(F533,payment_method!$A$1:$E$2,2,0)</f>
        <v>0.02</v>
      </c>
      <c r="M533" s="3" t="str">
        <f>IF(AND(E533&gt;5000, L533&lt;&gt;"East"), "High-Value Merchant Day", "Normal Day")</f>
        <v>Normal Day</v>
      </c>
    </row>
    <row r="534" spans="1:13" x14ac:dyDescent="0.3">
      <c r="A534" t="s">
        <v>547</v>
      </c>
      <c r="B534">
        <v>287</v>
      </c>
      <c r="C534">
        <v>12</v>
      </c>
      <c r="D534" s="1">
        <v>46036.584027777775</v>
      </c>
      <c r="E534">
        <v>499</v>
      </c>
      <c r="F534" t="s">
        <v>24</v>
      </c>
      <c r="G534" t="s">
        <v>25</v>
      </c>
      <c r="H534">
        <v>87</v>
      </c>
      <c r="I534" s="2">
        <f>VLOOKUP(B534,users!$A$1:$B$366,2,0)</f>
        <v>45615</v>
      </c>
      <c r="J534" s="3" t="str">
        <f>IFERROR(VLOOKUP(C534, merchants!$A$1:$D$41, 3, FALSE), "Data Missing")</f>
        <v>ecommerce</v>
      </c>
      <c r="K534" s="3" t="str">
        <f>IFERROR(VLOOKUP(C534, merchants!$A$1:$D$41, 4, FALSE), "Data Missing")</f>
        <v>East</v>
      </c>
      <c r="L534" s="7">
        <f>HLOOKUP(F534,payment_method!$A$1:$E$2,2,0)</f>
        <v>0.02</v>
      </c>
      <c r="M534" s="3" t="str">
        <f>IF(AND(E534&gt;5000, L534&lt;&gt;"East"), "High-Value Merchant Day", "Normal Day")</f>
        <v>Normal Day</v>
      </c>
    </row>
    <row r="535" spans="1:13" x14ac:dyDescent="0.3">
      <c r="A535" t="s">
        <v>548</v>
      </c>
      <c r="B535">
        <v>287</v>
      </c>
      <c r="C535">
        <v>26</v>
      </c>
      <c r="D535" s="1">
        <v>46036.584722222222</v>
      </c>
      <c r="E535">
        <v>299</v>
      </c>
      <c r="F535" t="s">
        <v>24</v>
      </c>
      <c r="G535" t="s">
        <v>25</v>
      </c>
      <c r="H535">
        <v>72</v>
      </c>
      <c r="I535" s="2">
        <f>VLOOKUP(B535,users!$A$1:$B$366,2,0)</f>
        <v>45615</v>
      </c>
      <c r="J535" s="3" t="str">
        <f>IFERROR(VLOOKUP(C535, merchants!$A$1:$D$41, 3, FALSE), "Data Missing")</f>
        <v>food_delivery</v>
      </c>
      <c r="K535" s="3" t="str">
        <f>IFERROR(VLOOKUP(C535, merchants!$A$1:$D$41, 4, FALSE), "Data Missing")</f>
        <v>East</v>
      </c>
      <c r="L535" s="7">
        <f>HLOOKUP(F535,payment_method!$A$1:$E$2,2,0)</f>
        <v>0.02</v>
      </c>
      <c r="M535" s="3" t="str">
        <f>IF(AND(E535&gt;5000, L535&lt;&gt;"East"), "High-Value Merchant Day", "Normal Day")</f>
        <v>Normal Day</v>
      </c>
    </row>
    <row r="536" spans="1:13" x14ac:dyDescent="0.3">
      <c r="A536" t="s">
        <v>549</v>
      </c>
      <c r="B536">
        <v>287</v>
      </c>
      <c r="C536">
        <v>29</v>
      </c>
      <c r="D536" s="1">
        <v>46036.585416666669</v>
      </c>
      <c r="E536">
        <v>499</v>
      </c>
      <c r="F536" t="s">
        <v>24</v>
      </c>
      <c r="G536" t="s">
        <v>10</v>
      </c>
      <c r="H536">
        <v>87</v>
      </c>
      <c r="I536" s="2">
        <f>VLOOKUP(B536,users!$A$1:$B$366,2,0)</f>
        <v>45615</v>
      </c>
      <c r="J536" s="3" t="str">
        <f>IFERROR(VLOOKUP(C536, merchants!$A$1:$D$41, 3, FALSE), "Data Missing")</f>
        <v>ecommerce</v>
      </c>
      <c r="K536" s="3" t="str">
        <f>IFERROR(VLOOKUP(C536, merchants!$A$1:$D$41, 4, FALSE), "Data Missing")</f>
        <v>North</v>
      </c>
      <c r="L536" s="7">
        <f>HLOOKUP(F536,payment_method!$A$1:$E$2,2,0)</f>
        <v>0.02</v>
      </c>
      <c r="M536" s="3" t="str">
        <f>IF(AND(E536&gt;5000, L536&lt;&gt;"East"), "High-Value Merchant Day", "Normal Day")</f>
        <v>Normal Day</v>
      </c>
    </row>
    <row r="537" spans="1:13" x14ac:dyDescent="0.3">
      <c r="A537" t="s">
        <v>550</v>
      </c>
      <c r="B537">
        <v>200</v>
      </c>
      <c r="C537">
        <v>14</v>
      </c>
      <c r="D537" s="1">
        <v>46023.916666666664</v>
      </c>
      <c r="E537">
        <v>299</v>
      </c>
      <c r="F537" t="s">
        <v>24</v>
      </c>
      <c r="G537" t="s">
        <v>25</v>
      </c>
      <c r="H537">
        <v>77</v>
      </c>
      <c r="I537" s="2">
        <f>VLOOKUP(B537,users!$A$1:$B$366,2,0)</f>
        <v>45751</v>
      </c>
      <c r="J537" s="3" t="str">
        <f>IFERROR(VLOOKUP(C537, merchants!$A$1:$D$41, 3, FALSE), "Data Missing")</f>
        <v>grocery</v>
      </c>
      <c r="K537" s="3" t="str">
        <f>IFERROR(VLOOKUP(C537, merchants!$A$1:$D$41, 4, FALSE), "Data Missing")</f>
        <v>East</v>
      </c>
      <c r="L537" s="7">
        <f>HLOOKUP(F537,payment_method!$A$1:$E$2,2,0)</f>
        <v>0.02</v>
      </c>
      <c r="M537" s="3" t="str">
        <f>IF(AND(E537&gt;5000, L537&lt;&gt;"East"), "High-Value Merchant Day", "Normal Day")</f>
        <v>Normal Day</v>
      </c>
    </row>
    <row r="538" spans="1:13" x14ac:dyDescent="0.3">
      <c r="A538" t="s">
        <v>551</v>
      </c>
      <c r="B538">
        <v>200</v>
      </c>
      <c r="C538">
        <v>5</v>
      </c>
      <c r="D538" s="1">
        <v>46023.917361111111</v>
      </c>
      <c r="E538">
        <v>499</v>
      </c>
      <c r="F538" t="s">
        <v>24</v>
      </c>
      <c r="G538" t="s">
        <v>25</v>
      </c>
      <c r="H538">
        <v>66</v>
      </c>
      <c r="I538" s="2">
        <f>VLOOKUP(B538,users!$A$1:$B$366,2,0)</f>
        <v>45751</v>
      </c>
      <c r="J538" s="3" t="str">
        <f>IFERROR(VLOOKUP(C538, merchants!$A$1:$D$41, 3, FALSE), "Data Missing")</f>
        <v>recharge</v>
      </c>
      <c r="K538" s="3" t="str">
        <f>IFERROR(VLOOKUP(C538, merchants!$A$1:$D$41, 4, FALSE), "Data Missing")</f>
        <v>South</v>
      </c>
      <c r="L538" s="7">
        <f>HLOOKUP(F538,payment_method!$A$1:$E$2,2,0)</f>
        <v>0.02</v>
      </c>
      <c r="M538" s="3" t="str">
        <f>IF(AND(E538&gt;5000, L538&lt;&gt;"East"), "High-Value Merchant Day", "Normal Day")</f>
        <v>Normal Day</v>
      </c>
    </row>
    <row r="539" spans="1:13" x14ac:dyDescent="0.3">
      <c r="A539" t="s">
        <v>552</v>
      </c>
      <c r="B539">
        <v>200</v>
      </c>
      <c r="C539">
        <v>35</v>
      </c>
      <c r="D539" s="1">
        <v>46023.918055555558</v>
      </c>
      <c r="E539">
        <v>299</v>
      </c>
      <c r="F539" t="s">
        <v>24</v>
      </c>
      <c r="G539" t="s">
        <v>25</v>
      </c>
      <c r="H539">
        <v>83</v>
      </c>
      <c r="I539" s="2">
        <f>VLOOKUP(B539,users!$A$1:$B$366,2,0)</f>
        <v>45751</v>
      </c>
      <c r="J539" s="3" t="str">
        <f>IFERROR(VLOOKUP(C539, merchants!$A$1:$D$41, 3, FALSE), "Data Missing")</f>
        <v>recharge</v>
      </c>
      <c r="K539" s="3" t="str">
        <f>IFERROR(VLOOKUP(C539, merchants!$A$1:$D$41, 4, FALSE), "Data Missing")</f>
        <v>East</v>
      </c>
      <c r="L539" s="7">
        <f>HLOOKUP(F539,payment_method!$A$1:$E$2,2,0)</f>
        <v>0.02</v>
      </c>
      <c r="M539" s="3" t="str">
        <f>IF(AND(E539&gt;5000, L539&lt;&gt;"East"), "High-Value Merchant Day", "Normal Day")</f>
        <v>Normal Day</v>
      </c>
    </row>
    <row r="540" spans="1:13" x14ac:dyDescent="0.3">
      <c r="A540" t="s">
        <v>553</v>
      </c>
      <c r="B540">
        <v>200</v>
      </c>
      <c r="C540">
        <v>21</v>
      </c>
      <c r="D540" s="1">
        <v>46023.918749999997</v>
      </c>
      <c r="E540">
        <v>299</v>
      </c>
      <c r="F540" t="s">
        <v>24</v>
      </c>
      <c r="G540" t="s">
        <v>10</v>
      </c>
      <c r="H540">
        <v>89</v>
      </c>
      <c r="I540" s="2">
        <f>VLOOKUP(B540,users!$A$1:$B$366,2,0)</f>
        <v>45751</v>
      </c>
      <c r="J540" s="3" t="str">
        <f>IFERROR(VLOOKUP(C540, merchants!$A$1:$D$41, 3, FALSE), "Data Missing")</f>
        <v>food_delivery</v>
      </c>
      <c r="K540" s="3" t="str">
        <f>IFERROR(VLOOKUP(C540, merchants!$A$1:$D$41, 4, FALSE), "Data Missing")</f>
        <v>East</v>
      </c>
      <c r="L540" s="7">
        <f>HLOOKUP(F540,payment_method!$A$1:$E$2,2,0)</f>
        <v>0.02</v>
      </c>
      <c r="M540" s="3" t="str">
        <f>IF(AND(E540&gt;5000, L540&lt;&gt;"East"), "High-Value Merchant Day", "Normal Day")</f>
        <v>Normal Day</v>
      </c>
    </row>
    <row r="541" spans="1:13" x14ac:dyDescent="0.3">
      <c r="A541" t="s">
        <v>554</v>
      </c>
      <c r="B541">
        <v>59</v>
      </c>
      <c r="C541">
        <v>32</v>
      </c>
      <c r="D541" s="1">
        <v>46031.875</v>
      </c>
      <c r="E541">
        <v>499</v>
      </c>
      <c r="F541" t="s">
        <v>24</v>
      </c>
      <c r="G541" t="s">
        <v>25</v>
      </c>
      <c r="H541">
        <v>80</v>
      </c>
      <c r="I541" s="2">
        <f>VLOOKUP(B541,users!$A$1:$B$366,2,0)</f>
        <v>45427</v>
      </c>
      <c r="J541" s="3" t="str">
        <f>IFERROR(VLOOKUP(C541, merchants!$A$1:$D$41, 3, FALSE), "Data Missing")</f>
        <v>food_delivery</v>
      </c>
      <c r="K541" s="3" t="str">
        <f>IFERROR(VLOOKUP(C541, merchants!$A$1:$D$41, 4, FALSE), "Data Missing")</f>
        <v>West</v>
      </c>
      <c r="L541" s="7">
        <f>HLOOKUP(F541,payment_method!$A$1:$E$2,2,0)</f>
        <v>0.02</v>
      </c>
      <c r="M541" s="3" t="str">
        <f>IF(AND(E541&gt;5000, L541&lt;&gt;"East"), "High-Value Merchant Day", "Normal Day")</f>
        <v>Normal Day</v>
      </c>
    </row>
    <row r="542" spans="1:13" x14ac:dyDescent="0.3">
      <c r="A542" t="s">
        <v>555</v>
      </c>
      <c r="B542">
        <v>59</v>
      </c>
      <c r="C542">
        <v>39</v>
      </c>
      <c r="D542" s="1">
        <v>46031.875694444447</v>
      </c>
      <c r="E542">
        <v>399</v>
      </c>
      <c r="F542" t="s">
        <v>24</v>
      </c>
      <c r="G542" t="s">
        <v>25</v>
      </c>
      <c r="H542">
        <v>85</v>
      </c>
      <c r="I542" s="2">
        <f>VLOOKUP(B542,users!$A$1:$B$366,2,0)</f>
        <v>45427</v>
      </c>
      <c r="J542" s="3" t="str">
        <f>IFERROR(VLOOKUP(C542, merchants!$A$1:$D$41, 3, FALSE), "Data Missing")</f>
        <v>entertainment</v>
      </c>
      <c r="K542" s="3" t="str">
        <f>IFERROR(VLOOKUP(C542, merchants!$A$1:$D$41, 4, FALSE), "Data Missing")</f>
        <v>North</v>
      </c>
      <c r="L542" s="7">
        <f>HLOOKUP(F542,payment_method!$A$1:$E$2,2,0)</f>
        <v>0.02</v>
      </c>
      <c r="M542" s="3" t="str">
        <f>IF(AND(E542&gt;5000, L542&lt;&gt;"East"), "High-Value Merchant Day", "Normal Day")</f>
        <v>Normal Day</v>
      </c>
    </row>
    <row r="543" spans="1:13" x14ac:dyDescent="0.3">
      <c r="A543" t="s">
        <v>556</v>
      </c>
      <c r="B543">
        <v>59</v>
      </c>
      <c r="C543">
        <v>38</v>
      </c>
      <c r="D543" s="1">
        <v>46031.876388888886</v>
      </c>
      <c r="E543">
        <v>299</v>
      </c>
      <c r="F543" t="s">
        <v>24</v>
      </c>
      <c r="G543" t="s">
        <v>25</v>
      </c>
      <c r="H543">
        <v>82</v>
      </c>
      <c r="I543" s="2">
        <f>VLOOKUP(B543,users!$A$1:$B$366,2,0)</f>
        <v>45427</v>
      </c>
      <c r="J543" s="3" t="str">
        <f>IFERROR(VLOOKUP(C543, merchants!$A$1:$D$41, 3, FALSE), "Data Missing")</f>
        <v>grocery</v>
      </c>
      <c r="K543" s="3" t="str">
        <f>IFERROR(VLOOKUP(C543, merchants!$A$1:$D$41, 4, FALSE), "Data Missing")</f>
        <v>East</v>
      </c>
      <c r="L543" s="7">
        <f>HLOOKUP(F543,payment_method!$A$1:$E$2,2,0)</f>
        <v>0.02</v>
      </c>
      <c r="M543" s="3" t="str">
        <f>IF(AND(E543&gt;5000, L543&lt;&gt;"East"), "High-Value Merchant Day", "Normal Day")</f>
        <v>Normal Day</v>
      </c>
    </row>
    <row r="544" spans="1:13" x14ac:dyDescent="0.3">
      <c r="A544" t="s">
        <v>557</v>
      </c>
      <c r="B544">
        <v>59</v>
      </c>
      <c r="C544">
        <v>23</v>
      </c>
      <c r="D544" s="1">
        <v>46031.877083333333</v>
      </c>
      <c r="E544">
        <v>399</v>
      </c>
      <c r="F544" t="s">
        <v>24</v>
      </c>
      <c r="G544" t="s">
        <v>10</v>
      </c>
      <c r="H544">
        <v>71</v>
      </c>
      <c r="I544" s="2">
        <f>VLOOKUP(B544,users!$A$1:$B$366,2,0)</f>
        <v>45427</v>
      </c>
      <c r="J544" s="3" t="str">
        <f>IFERROR(VLOOKUP(C544, merchants!$A$1:$D$41, 3, FALSE), "Data Missing")</f>
        <v>travel</v>
      </c>
      <c r="K544" s="3" t="str">
        <f>IFERROR(VLOOKUP(C544, merchants!$A$1:$D$41, 4, FALSE), "Data Missing")</f>
        <v>North</v>
      </c>
      <c r="L544" s="7">
        <f>HLOOKUP(F544,payment_method!$A$1:$E$2,2,0)</f>
        <v>0.02</v>
      </c>
      <c r="M544" s="3" t="str">
        <f>IF(AND(E544&gt;5000, L544&lt;&gt;"East"), "High-Value Merchant Day", "Normal Day")</f>
        <v>Normal Day</v>
      </c>
    </row>
    <row r="545" spans="1:13" x14ac:dyDescent="0.3">
      <c r="A545" t="s">
        <v>558</v>
      </c>
      <c r="B545">
        <v>345</v>
      </c>
      <c r="C545">
        <v>40</v>
      </c>
      <c r="D545" s="1">
        <v>46045.375</v>
      </c>
      <c r="E545">
        <v>499</v>
      </c>
      <c r="F545" t="s">
        <v>24</v>
      </c>
      <c r="G545" t="s">
        <v>25</v>
      </c>
      <c r="H545">
        <v>65</v>
      </c>
      <c r="I545" s="2">
        <f>VLOOKUP(B545,users!$A$1:$B$366,2,0)</f>
        <v>45553</v>
      </c>
      <c r="J545" s="3" t="str">
        <f>IFERROR(VLOOKUP(C545, merchants!$A$1:$D$41, 3, FALSE), "Data Missing")</f>
        <v>entertainment</v>
      </c>
      <c r="K545" s="3" t="str">
        <f>IFERROR(VLOOKUP(C545, merchants!$A$1:$D$41, 4, FALSE), "Data Missing")</f>
        <v>South</v>
      </c>
      <c r="L545" s="7">
        <f>HLOOKUP(F545,payment_method!$A$1:$E$2,2,0)</f>
        <v>0.02</v>
      </c>
      <c r="M545" s="3" t="str">
        <f>IF(AND(E545&gt;5000, L545&lt;&gt;"East"), "High-Value Merchant Day", "Normal Day")</f>
        <v>Normal Day</v>
      </c>
    </row>
    <row r="546" spans="1:13" x14ac:dyDescent="0.3">
      <c r="A546" t="s">
        <v>559</v>
      </c>
      <c r="B546">
        <v>345</v>
      </c>
      <c r="C546">
        <v>9</v>
      </c>
      <c r="D546" s="1">
        <v>46045.375694444447</v>
      </c>
      <c r="E546">
        <v>399</v>
      </c>
      <c r="F546" t="s">
        <v>24</v>
      </c>
      <c r="G546" t="s">
        <v>25</v>
      </c>
      <c r="H546">
        <v>67</v>
      </c>
      <c r="I546" s="2">
        <f>VLOOKUP(B546,users!$A$1:$B$366,2,0)</f>
        <v>45553</v>
      </c>
      <c r="J546" s="3" t="str">
        <f>IFERROR(VLOOKUP(C546, merchants!$A$1:$D$41, 3, FALSE), "Data Missing")</f>
        <v>ecommerce</v>
      </c>
      <c r="K546" s="3" t="str">
        <f>IFERROR(VLOOKUP(C546, merchants!$A$1:$D$41, 4, FALSE), "Data Missing")</f>
        <v>North</v>
      </c>
      <c r="L546" s="7">
        <f>HLOOKUP(F546,payment_method!$A$1:$E$2,2,0)</f>
        <v>0.02</v>
      </c>
      <c r="M546" s="3" t="str">
        <f>IF(AND(E546&gt;5000, L546&lt;&gt;"East"), "High-Value Merchant Day", "Normal Day")</f>
        <v>Normal Day</v>
      </c>
    </row>
    <row r="547" spans="1:13" x14ac:dyDescent="0.3">
      <c r="A547" t="s">
        <v>560</v>
      </c>
      <c r="B547">
        <v>345</v>
      </c>
      <c r="C547">
        <v>16</v>
      </c>
      <c r="D547" s="1">
        <v>46045.376388888886</v>
      </c>
      <c r="E547">
        <v>399</v>
      </c>
      <c r="F547" t="s">
        <v>24</v>
      </c>
      <c r="G547" t="s">
        <v>25</v>
      </c>
      <c r="H547">
        <v>67</v>
      </c>
      <c r="I547" s="2">
        <f>VLOOKUP(B547,users!$A$1:$B$366,2,0)</f>
        <v>45553</v>
      </c>
      <c r="J547" s="3" t="str">
        <f>IFERROR(VLOOKUP(C547, merchants!$A$1:$D$41, 3, FALSE), "Data Missing")</f>
        <v>bill_payment</v>
      </c>
      <c r="K547" s="3" t="str">
        <f>IFERROR(VLOOKUP(C547, merchants!$A$1:$D$41, 4, FALSE), "Data Missing")</f>
        <v>West</v>
      </c>
      <c r="L547" s="7">
        <f>HLOOKUP(F547,payment_method!$A$1:$E$2,2,0)</f>
        <v>0.02</v>
      </c>
      <c r="M547" s="3" t="str">
        <f>IF(AND(E547&gt;5000, L547&lt;&gt;"East"), "High-Value Merchant Day", "Normal Day")</f>
        <v>Normal Day</v>
      </c>
    </row>
    <row r="548" spans="1:13" x14ac:dyDescent="0.3">
      <c r="A548" t="s">
        <v>561</v>
      </c>
      <c r="B548">
        <v>345</v>
      </c>
      <c r="C548">
        <v>12</v>
      </c>
      <c r="D548" s="1">
        <v>46045.377083333333</v>
      </c>
      <c r="E548">
        <v>399</v>
      </c>
      <c r="F548" t="s">
        <v>24</v>
      </c>
      <c r="G548" t="s">
        <v>10</v>
      </c>
      <c r="H548">
        <v>69</v>
      </c>
      <c r="I548" s="2">
        <f>VLOOKUP(B548,users!$A$1:$B$366,2,0)</f>
        <v>45553</v>
      </c>
      <c r="J548" s="3" t="str">
        <f>IFERROR(VLOOKUP(C548, merchants!$A$1:$D$41, 3, FALSE), "Data Missing")</f>
        <v>ecommerce</v>
      </c>
      <c r="K548" s="3" t="str">
        <f>IFERROR(VLOOKUP(C548, merchants!$A$1:$D$41, 4, FALSE), "Data Missing")</f>
        <v>East</v>
      </c>
      <c r="L548" s="7">
        <f>HLOOKUP(F548,payment_method!$A$1:$E$2,2,0)</f>
        <v>0.02</v>
      </c>
      <c r="M548" s="3" t="str">
        <f>IF(AND(E548&gt;5000, L548&lt;&gt;"East"), "High-Value Merchant Day", "Normal Day")</f>
        <v>Normal Day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194B-3964-4A3E-9C4E-E6784EFD5F11}">
  <dimension ref="A1:B366"/>
  <sheetViews>
    <sheetView workbookViewId="0">
      <selection activeCell="B1" sqref="B1"/>
    </sheetView>
  </sheetViews>
  <sheetFormatPr defaultRowHeight="14.4" x14ac:dyDescent="0.3"/>
  <cols>
    <col min="1" max="1" width="6.88671875" bestFit="1" customWidth="1"/>
    <col min="2" max="2" width="13.44140625" bestFit="1" customWidth="1"/>
  </cols>
  <sheetData>
    <row r="1" spans="1:2" x14ac:dyDescent="0.3">
      <c r="A1" t="s">
        <v>1</v>
      </c>
      <c r="B1" t="s">
        <v>562</v>
      </c>
    </row>
    <row r="2" spans="1:2" x14ac:dyDescent="0.3">
      <c r="A2">
        <v>1</v>
      </c>
      <c r="B2" s="1">
        <v>45447</v>
      </c>
    </row>
    <row r="3" spans="1:2" x14ac:dyDescent="0.3">
      <c r="A3">
        <v>2</v>
      </c>
      <c r="B3" s="1">
        <v>45743</v>
      </c>
    </row>
    <row r="4" spans="1:2" x14ac:dyDescent="0.3">
      <c r="A4">
        <v>3</v>
      </c>
      <c r="B4" s="1">
        <v>45826</v>
      </c>
    </row>
    <row r="5" spans="1:2" x14ac:dyDescent="0.3">
      <c r="A5">
        <v>4</v>
      </c>
      <c r="B5" s="1">
        <v>45520</v>
      </c>
    </row>
    <row r="6" spans="1:2" x14ac:dyDescent="0.3">
      <c r="A6">
        <v>5</v>
      </c>
      <c r="B6" s="1">
        <v>45605</v>
      </c>
    </row>
    <row r="7" spans="1:2" x14ac:dyDescent="0.3">
      <c r="A7">
        <v>6</v>
      </c>
      <c r="B7" s="1">
        <v>45717</v>
      </c>
    </row>
    <row r="8" spans="1:2" x14ac:dyDescent="0.3">
      <c r="A8">
        <v>7</v>
      </c>
      <c r="B8" s="1">
        <v>45338</v>
      </c>
    </row>
    <row r="9" spans="1:2" x14ac:dyDescent="0.3">
      <c r="A9">
        <v>8</v>
      </c>
      <c r="B9" s="1">
        <v>45423</v>
      </c>
    </row>
    <row r="10" spans="1:2" x14ac:dyDescent="0.3">
      <c r="A10">
        <v>9</v>
      </c>
      <c r="B10" s="1">
        <v>45769</v>
      </c>
    </row>
    <row r="11" spans="1:2" x14ac:dyDescent="0.3">
      <c r="A11">
        <v>10</v>
      </c>
      <c r="B11" s="1">
        <v>45661</v>
      </c>
    </row>
    <row r="12" spans="1:2" x14ac:dyDescent="0.3">
      <c r="A12">
        <v>11</v>
      </c>
      <c r="B12" s="1">
        <v>45936</v>
      </c>
    </row>
    <row r="13" spans="1:2" x14ac:dyDescent="0.3">
      <c r="A13">
        <v>12</v>
      </c>
      <c r="B13" s="1">
        <v>45759</v>
      </c>
    </row>
    <row r="14" spans="1:2" x14ac:dyDescent="0.3">
      <c r="A14">
        <v>13</v>
      </c>
      <c r="B14" s="1">
        <v>45961</v>
      </c>
    </row>
    <row r="15" spans="1:2" x14ac:dyDescent="0.3">
      <c r="A15">
        <v>14</v>
      </c>
      <c r="B15" s="1">
        <v>45670</v>
      </c>
    </row>
    <row r="16" spans="1:2" x14ac:dyDescent="0.3">
      <c r="A16">
        <v>15</v>
      </c>
      <c r="B16" s="1">
        <v>45583</v>
      </c>
    </row>
    <row r="17" spans="1:2" x14ac:dyDescent="0.3">
      <c r="A17">
        <v>16</v>
      </c>
      <c r="B17" s="1">
        <v>45719</v>
      </c>
    </row>
    <row r="18" spans="1:2" x14ac:dyDescent="0.3">
      <c r="A18">
        <v>17</v>
      </c>
      <c r="B18" s="1">
        <v>45926</v>
      </c>
    </row>
    <row r="19" spans="1:2" x14ac:dyDescent="0.3">
      <c r="A19">
        <v>18</v>
      </c>
      <c r="B19" s="1">
        <v>45777</v>
      </c>
    </row>
    <row r="20" spans="1:2" x14ac:dyDescent="0.3">
      <c r="A20">
        <v>19</v>
      </c>
      <c r="B20" s="1">
        <v>45413</v>
      </c>
    </row>
    <row r="21" spans="1:2" x14ac:dyDescent="0.3">
      <c r="A21">
        <v>20</v>
      </c>
      <c r="B21" s="1">
        <v>45671</v>
      </c>
    </row>
    <row r="22" spans="1:2" x14ac:dyDescent="0.3">
      <c r="A22">
        <v>21</v>
      </c>
      <c r="B22" s="1">
        <v>45776</v>
      </c>
    </row>
    <row r="23" spans="1:2" x14ac:dyDescent="0.3">
      <c r="A23">
        <v>22</v>
      </c>
      <c r="B23" s="1">
        <v>45322</v>
      </c>
    </row>
    <row r="24" spans="1:2" x14ac:dyDescent="0.3">
      <c r="A24">
        <v>23</v>
      </c>
      <c r="B24" s="1">
        <v>45482</v>
      </c>
    </row>
    <row r="25" spans="1:2" x14ac:dyDescent="0.3">
      <c r="A25">
        <v>24</v>
      </c>
      <c r="B25" s="1">
        <v>45588</v>
      </c>
    </row>
    <row r="26" spans="1:2" x14ac:dyDescent="0.3">
      <c r="A26">
        <v>25</v>
      </c>
      <c r="B26" s="1">
        <v>45335</v>
      </c>
    </row>
    <row r="27" spans="1:2" x14ac:dyDescent="0.3">
      <c r="A27">
        <v>26</v>
      </c>
      <c r="B27" s="1">
        <v>45524</v>
      </c>
    </row>
    <row r="28" spans="1:2" x14ac:dyDescent="0.3">
      <c r="A28">
        <v>27</v>
      </c>
      <c r="B28" s="1">
        <v>45847</v>
      </c>
    </row>
    <row r="29" spans="1:2" x14ac:dyDescent="0.3">
      <c r="A29">
        <v>28</v>
      </c>
      <c r="B29" s="1">
        <v>45722</v>
      </c>
    </row>
    <row r="30" spans="1:2" x14ac:dyDescent="0.3">
      <c r="A30">
        <v>29</v>
      </c>
      <c r="B30" s="1">
        <v>45851</v>
      </c>
    </row>
    <row r="31" spans="1:2" x14ac:dyDescent="0.3">
      <c r="A31">
        <v>30</v>
      </c>
      <c r="B31" s="1">
        <v>45741</v>
      </c>
    </row>
    <row r="32" spans="1:2" x14ac:dyDescent="0.3">
      <c r="A32">
        <v>31</v>
      </c>
      <c r="B32" s="1">
        <v>45419</v>
      </c>
    </row>
    <row r="33" spans="1:2" x14ac:dyDescent="0.3">
      <c r="A33">
        <v>32</v>
      </c>
      <c r="B33" s="1">
        <v>45442</v>
      </c>
    </row>
    <row r="34" spans="1:2" x14ac:dyDescent="0.3">
      <c r="A34">
        <v>33</v>
      </c>
      <c r="B34" s="1">
        <v>45724</v>
      </c>
    </row>
    <row r="35" spans="1:2" x14ac:dyDescent="0.3">
      <c r="A35">
        <v>34</v>
      </c>
      <c r="B35" s="1">
        <v>45395</v>
      </c>
    </row>
    <row r="36" spans="1:2" x14ac:dyDescent="0.3">
      <c r="A36">
        <v>35</v>
      </c>
      <c r="B36" s="1">
        <v>45555</v>
      </c>
    </row>
    <row r="37" spans="1:2" x14ac:dyDescent="0.3">
      <c r="A37">
        <v>36</v>
      </c>
      <c r="B37" s="1">
        <v>45396</v>
      </c>
    </row>
    <row r="38" spans="1:2" x14ac:dyDescent="0.3">
      <c r="A38">
        <v>37</v>
      </c>
      <c r="B38" s="1">
        <v>45585</v>
      </c>
    </row>
    <row r="39" spans="1:2" x14ac:dyDescent="0.3">
      <c r="A39">
        <v>38</v>
      </c>
      <c r="B39" s="1">
        <v>45623</v>
      </c>
    </row>
    <row r="40" spans="1:2" x14ac:dyDescent="0.3">
      <c r="A40">
        <v>39</v>
      </c>
      <c r="B40" s="1">
        <v>45769</v>
      </c>
    </row>
    <row r="41" spans="1:2" x14ac:dyDescent="0.3">
      <c r="A41">
        <v>40</v>
      </c>
      <c r="B41" s="1">
        <v>45852</v>
      </c>
    </row>
    <row r="42" spans="1:2" x14ac:dyDescent="0.3">
      <c r="A42">
        <v>41</v>
      </c>
      <c r="B42" s="1">
        <v>45472</v>
      </c>
    </row>
    <row r="43" spans="1:2" x14ac:dyDescent="0.3">
      <c r="A43">
        <v>42</v>
      </c>
      <c r="B43" s="1">
        <v>45488</v>
      </c>
    </row>
    <row r="44" spans="1:2" x14ac:dyDescent="0.3">
      <c r="A44">
        <v>43</v>
      </c>
      <c r="B44" s="1">
        <v>45900</v>
      </c>
    </row>
    <row r="45" spans="1:2" x14ac:dyDescent="0.3">
      <c r="A45">
        <v>44</v>
      </c>
      <c r="B45" s="1">
        <v>45945</v>
      </c>
    </row>
    <row r="46" spans="1:2" x14ac:dyDescent="0.3">
      <c r="A46">
        <v>45</v>
      </c>
      <c r="B46" s="1">
        <v>45881</v>
      </c>
    </row>
    <row r="47" spans="1:2" x14ac:dyDescent="0.3">
      <c r="A47">
        <v>46</v>
      </c>
      <c r="B47" s="1">
        <v>45837</v>
      </c>
    </row>
    <row r="48" spans="1:2" x14ac:dyDescent="0.3">
      <c r="A48">
        <v>47</v>
      </c>
      <c r="B48" s="1">
        <v>45351</v>
      </c>
    </row>
    <row r="49" spans="1:2" x14ac:dyDescent="0.3">
      <c r="A49">
        <v>48</v>
      </c>
      <c r="B49" s="1">
        <v>45830</v>
      </c>
    </row>
    <row r="50" spans="1:2" x14ac:dyDescent="0.3">
      <c r="A50">
        <v>49</v>
      </c>
      <c r="B50" s="1">
        <v>45297</v>
      </c>
    </row>
    <row r="51" spans="1:2" x14ac:dyDescent="0.3">
      <c r="A51">
        <v>50</v>
      </c>
      <c r="B51" s="1">
        <v>45561</v>
      </c>
    </row>
    <row r="52" spans="1:2" x14ac:dyDescent="0.3">
      <c r="A52">
        <v>51</v>
      </c>
      <c r="B52" s="1">
        <v>45383</v>
      </c>
    </row>
    <row r="53" spans="1:2" x14ac:dyDescent="0.3">
      <c r="A53">
        <v>52</v>
      </c>
      <c r="B53" s="1">
        <v>45928</v>
      </c>
    </row>
    <row r="54" spans="1:2" x14ac:dyDescent="0.3">
      <c r="A54">
        <v>53</v>
      </c>
      <c r="B54" s="1">
        <v>45599</v>
      </c>
    </row>
    <row r="55" spans="1:2" x14ac:dyDescent="0.3">
      <c r="A55">
        <v>54</v>
      </c>
      <c r="B55" s="1">
        <v>45603</v>
      </c>
    </row>
    <row r="56" spans="1:2" x14ac:dyDescent="0.3">
      <c r="A56">
        <v>55</v>
      </c>
      <c r="B56" s="1">
        <v>45383</v>
      </c>
    </row>
    <row r="57" spans="1:2" x14ac:dyDescent="0.3">
      <c r="A57">
        <v>56</v>
      </c>
      <c r="B57" s="1">
        <v>45514</v>
      </c>
    </row>
    <row r="58" spans="1:2" x14ac:dyDescent="0.3">
      <c r="A58">
        <v>57</v>
      </c>
      <c r="B58" s="1">
        <v>45452</v>
      </c>
    </row>
    <row r="59" spans="1:2" x14ac:dyDescent="0.3">
      <c r="A59">
        <v>58</v>
      </c>
      <c r="B59" s="1">
        <v>45736</v>
      </c>
    </row>
    <row r="60" spans="1:2" x14ac:dyDescent="0.3">
      <c r="A60">
        <v>59</v>
      </c>
      <c r="B60" s="1">
        <v>45427</v>
      </c>
    </row>
    <row r="61" spans="1:2" x14ac:dyDescent="0.3">
      <c r="A61">
        <v>60</v>
      </c>
      <c r="B61" s="1">
        <v>45982</v>
      </c>
    </row>
    <row r="62" spans="1:2" x14ac:dyDescent="0.3">
      <c r="A62">
        <v>61</v>
      </c>
      <c r="B62" s="1">
        <v>45297</v>
      </c>
    </row>
    <row r="63" spans="1:2" x14ac:dyDescent="0.3">
      <c r="A63">
        <v>62</v>
      </c>
      <c r="B63" s="1">
        <v>45876</v>
      </c>
    </row>
    <row r="64" spans="1:2" x14ac:dyDescent="0.3">
      <c r="A64">
        <v>63</v>
      </c>
      <c r="B64" s="1">
        <v>45295</v>
      </c>
    </row>
    <row r="65" spans="1:2" x14ac:dyDescent="0.3">
      <c r="A65">
        <v>64</v>
      </c>
      <c r="B65" s="1">
        <v>45444</v>
      </c>
    </row>
    <row r="66" spans="1:2" x14ac:dyDescent="0.3">
      <c r="A66">
        <v>65</v>
      </c>
      <c r="B66" s="1">
        <v>45720</v>
      </c>
    </row>
    <row r="67" spans="1:2" x14ac:dyDescent="0.3">
      <c r="A67">
        <v>66</v>
      </c>
      <c r="B67" s="1">
        <v>45337</v>
      </c>
    </row>
    <row r="68" spans="1:2" x14ac:dyDescent="0.3">
      <c r="A68">
        <v>67</v>
      </c>
      <c r="B68" s="1">
        <v>45645</v>
      </c>
    </row>
    <row r="69" spans="1:2" x14ac:dyDescent="0.3">
      <c r="A69">
        <v>68</v>
      </c>
      <c r="B69" s="1">
        <v>45879</v>
      </c>
    </row>
    <row r="70" spans="1:2" x14ac:dyDescent="0.3">
      <c r="A70">
        <v>69</v>
      </c>
      <c r="B70" s="1">
        <v>45693</v>
      </c>
    </row>
    <row r="71" spans="1:2" x14ac:dyDescent="0.3">
      <c r="A71">
        <v>70</v>
      </c>
      <c r="B71" s="1">
        <v>45548</v>
      </c>
    </row>
    <row r="72" spans="1:2" x14ac:dyDescent="0.3">
      <c r="A72">
        <v>71</v>
      </c>
      <c r="B72" s="1">
        <v>45832</v>
      </c>
    </row>
    <row r="73" spans="1:2" x14ac:dyDescent="0.3">
      <c r="A73">
        <v>72</v>
      </c>
      <c r="B73" s="1">
        <v>45529</v>
      </c>
    </row>
    <row r="74" spans="1:2" x14ac:dyDescent="0.3">
      <c r="A74">
        <v>73</v>
      </c>
      <c r="B74" s="1">
        <v>45990</v>
      </c>
    </row>
    <row r="75" spans="1:2" x14ac:dyDescent="0.3">
      <c r="A75">
        <v>74</v>
      </c>
      <c r="B75" s="1">
        <v>45724</v>
      </c>
    </row>
    <row r="76" spans="1:2" x14ac:dyDescent="0.3">
      <c r="A76">
        <v>75</v>
      </c>
      <c r="B76" s="1">
        <v>45481</v>
      </c>
    </row>
    <row r="77" spans="1:2" x14ac:dyDescent="0.3">
      <c r="A77">
        <v>76</v>
      </c>
      <c r="B77" s="1">
        <v>45811</v>
      </c>
    </row>
    <row r="78" spans="1:2" x14ac:dyDescent="0.3">
      <c r="A78">
        <v>77</v>
      </c>
      <c r="B78" s="1">
        <v>45474</v>
      </c>
    </row>
    <row r="79" spans="1:2" x14ac:dyDescent="0.3">
      <c r="A79">
        <v>78</v>
      </c>
      <c r="B79" s="1">
        <v>45885</v>
      </c>
    </row>
    <row r="80" spans="1:2" x14ac:dyDescent="0.3">
      <c r="A80">
        <v>79</v>
      </c>
      <c r="B80" s="1">
        <v>45353</v>
      </c>
    </row>
    <row r="81" spans="1:2" x14ac:dyDescent="0.3">
      <c r="A81">
        <v>80</v>
      </c>
      <c r="B81" s="1">
        <v>45688</v>
      </c>
    </row>
    <row r="82" spans="1:2" x14ac:dyDescent="0.3">
      <c r="A82">
        <v>81</v>
      </c>
      <c r="B82" s="1">
        <v>45339</v>
      </c>
    </row>
    <row r="83" spans="1:2" x14ac:dyDescent="0.3">
      <c r="A83">
        <v>82</v>
      </c>
      <c r="B83" s="1">
        <v>45474</v>
      </c>
    </row>
    <row r="84" spans="1:2" x14ac:dyDescent="0.3">
      <c r="A84">
        <v>83</v>
      </c>
      <c r="B84" s="1">
        <v>45370</v>
      </c>
    </row>
    <row r="85" spans="1:2" x14ac:dyDescent="0.3">
      <c r="A85">
        <v>84</v>
      </c>
      <c r="B85" s="1">
        <v>45790</v>
      </c>
    </row>
    <row r="86" spans="1:2" x14ac:dyDescent="0.3">
      <c r="A86">
        <v>85</v>
      </c>
      <c r="B86" s="1">
        <v>45837</v>
      </c>
    </row>
    <row r="87" spans="1:2" x14ac:dyDescent="0.3">
      <c r="A87">
        <v>86</v>
      </c>
      <c r="B87" s="1">
        <v>45611</v>
      </c>
    </row>
    <row r="88" spans="1:2" x14ac:dyDescent="0.3">
      <c r="A88">
        <v>87</v>
      </c>
      <c r="B88" s="1">
        <v>45828</v>
      </c>
    </row>
    <row r="89" spans="1:2" x14ac:dyDescent="0.3">
      <c r="A89">
        <v>88</v>
      </c>
      <c r="B89" s="1">
        <v>45441</v>
      </c>
    </row>
    <row r="90" spans="1:2" x14ac:dyDescent="0.3">
      <c r="A90">
        <v>89</v>
      </c>
      <c r="B90" s="1">
        <v>45450</v>
      </c>
    </row>
    <row r="91" spans="1:2" x14ac:dyDescent="0.3">
      <c r="A91">
        <v>90</v>
      </c>
      <c r="B91" s="1">
        <v>45993</v>
      </c>
    </row>
    <row r="92" spans="1:2" x14ac:dyDescent="0.3">
      <c r="A92">
        <v>91</v>
      </c>
      <c r="B92" s="1">
        <v>45380</v>
      </c>
    </row>
    <row r="93" spans="1:2" x14ac:dyDescent="0.3">
      <c r="A93">
        <v>92</v>
      </c>
      <c r="B93" s="1">
        <v>45662</v>
      </c>
    </row>
    <row r="94" spans="1:2" x14ac:dyDescent="0.3">
      <c r="A94">
        <v>93</v>
      </c>
      <c r="B94" s="1">
        <v>45493</v>
      </c>
    </row>
    <row r="95" spans="1:2" x14ac:dyDescent="0.3">
      <c r="A95">
        <v>94</v>
      </c>
      <c r="B95" s="1">
        <v>45974</v>
      </c>
    </row>
    <row r="96" spans="1:2" x14ac:dyDescent="0.3">
      <c r="A96">
        <v>95</v>
      </c>
      <c r="B96" s="1">
        <v>45879</v>
      </c>
    </row>
    <row r="97" spans="1:2" x14ac:dyDescent="0.3">
      <c r="A97">
        <v>96</v>
      </c>
      <c r="B97" s="1">
        <v>45622</v>
      </c>
    </row>
    <row r="98" spans="1:2" x14ac:dyDescent="0.3">
      <c r="A98">
        <v>97</v>
      </c>
      <c r="B98" s="1">
        <v>45679</v>
      </c>
    </row>
    <row r="99" spans="1:2" x14ac:dyDescent="0.3">
      <c r="A99">
        <v>98</v>
      </c>
      <c r="B99" s="1">
        <v>45748</v>
      </c>
    </row>
    <row r="100" spans="1:2" x14ac:dyDescent="0.3">
      <c r="A100">
        <v>99</v>
      </c>
      <c r="B100" s="1">
        <v>45934</v>
      </c>
    </row>
    <row r="101" spans="1:2" x14ac:dyDescent="0.3">
      <c r="A101">
        <v>100</v>
      </c>
      <c r="B101" s="1">
        <v>45747</v>
      </c>
    </row>
    <row r="102" spans="1:2" x14ac:dyDescent="0.3">
      <c r="A102">
        <v>101</v>
      </c>
      <c r="B102" s="1">
        <v>45413</v>
      </c>
    </row>
    <row r="103" spans="1:2" x14ac:dyDescent="0.3">
      <c r="A103">
        <v>102</v>
      </c>
      <c r="B103" s="1">
        <v>45913</v>
      </c>
    </row>
    <row r="104" spans="1:2" x14ac:dyDescent="0.3">
      <c r="A104">
        <v>103</v>
      </c>
      <c r="B104" s="1">
        <v>45906</v>
      </c>
    </row>
    <row r="105" spans="1:2" x14ac:dyDescent="0.3">
      <c r="A105">
        <v>104</v>
      </c>
      <c r="B105" s="1">
        <v>45496</v>
      </c>
    </row>
    <row r="106" spans="1:2" x14ac:dyDescent="0.3">
      <c r="A106">
        <v>105</v>
      </c>
      <c r="B106" s="1">
        <v>45923</v>
      </c>
    </row>
    <row r="107" spans="1:2" x14ac:dyDescent="0.3">
      <c r="A107">
        <v>106</v>
      </c>
      <c r="B107" s="1">
        <v>45448</v>
      </c>
    </row>
    <row r="108" spans="1:2" x14ac:dyDescent="0.3">
      <c r="A108">
        <v>107</v>
      </c>
      <c r="B108" s="1">
        <v>45865</v>
      </c>
    </row>
    <row r="109" spans="1:2" x14ac:dyDescent="0.3">
      <c r="A109">
        <v>108</v>
      </c>
      <c r="B109" s="1">
        <v>45862</v>
      </c>
    </row>
    <row r="110" spans="1:2" x14ac:dyDescent="0.3">
      <c r="A110">
        <v>109</v>
      </c>
      <c r="B110" s="1">
        <v>45318</v>
      </c>
    </row>
    <row r="111" spans="1:2" x14ac:dyDescent="0.3">
      <c r="A111">
        <v>110</v>
      </c>
      <c r="B111" s="1">
        <v>45507</v>
      </c>
    </row>
    <row r="112" spans="1:2" x14ac:dyDescent="0.3">
      <c r="A112">
        <v>111</v>
      </c>
      <c r="B112" s="1">
        <v>45431</v>
      </c>
    </row>
    <row r="113" spans="1:2" x14ac:dyDescent="0.3">
      <c r="A113">
        <v>112</v>
      </c>
      <c r="B113" s="1">
        <v>45824</v>
      </c>
    </row>
    <row r="114" spans="1:2" x14ac:dyDescent="0.3">
      <c r="A114">
        <v>113</v>
      </c>
      <c r="B114" s="1">
        <v>45722</v>
      </c>
    </row>
    <row r="115" spans="1:2" x14ac:dyDescent="0.3">
      <c r="A115">
        <v>114</v>
      </c>
      <c r="B115" s="1">
        <v>45453</v>
      </c>
    </row>
    <row r="116" spans="1:2" x14ac:dyDescent="0.3">
      <c r="A116">
        <v>115</v>
      </c>
      <c r="B116" s="1">
        <v>45372</v>
      </c>
    </row>
    <row r="117" spans="1:2" x14ac:dyDescent="0.3">
      <c r="A117">
        <v>116</v>
      </c>
      <c r="B117" s="1">
        <v>45560</v>
      </c>
    </row>
    <row r="118" spans="1:2" x14ac:dyDescent="0.3">
      <c r="A118">
        <v>117</v>
      </c>
      <c r="B118" s="1">
        <v>45777</v>
      </c>
    </row>
    <row r="119" spans="1:2" x14ac:dyDescent="0.3">
      <c r="A119">
        <v>118</v>
      </c>
      <c r="B119" s="1">
        <v>45441</v>
      </c>
    </row>
    <row r="120" spans="1:2" x14ac:dyDescent="0.3">
      <c r="A120">
        <v>119</v>
      </c>
      <c r="B120" s="1">
        <v>45788</v>
      </c>
    </row>
    <row r="121" spans="1:2" x14ac:dyDescent="0.3">
      <c r="A121">
        <v>120</v>
      </c>
      <c r="B121" s="1">
        <v>45674</v>
      </c>
    </row>
    <row r="122" spans="1:2" x14ac:dyDescent="0.3">
      <c r="A122">
        <v>121</v>
      </c>
      <c r="B122" s="1">
        <v>45585</v>
      </c>
    </row>
    <row r="123" spans="1:2" x14ac:dyDescent="0.3">
      <c r="A123">
        <v>122</v>
      </c>
      <c r="B123" s="1">
        <v>45306</v>
      </c>
    </row>
    <row r="124" spans="1:2" x14ac:dyDescent="0.3">
      <c r="A124">
        <v>123</v>
      </c>
      <c r="B124" s="1">
        <v>45328</v>
      </c>
    </row>
    <row r="125" spans="1:2" x14ac:dyDescent="0.3">
      <c r="A125">
        <v>124</v>
      </c>
      <c r="B125" s="1">
        <v>45611</v>
      </c>
    </row>
    <row r="126" spans="1:2" x14ac:dyDescent="0.3">
      <c r="A126">
        <v>125</v>
      </c>
      <c r="B126" s="1">
        <v>45545</v>
      </c>
    </row>
    <row r="127" spans="1:2" x14ac:dyDescent="0.3">
      <c r="A127">
        <v>126</v>
      </c>
      <c r="B127" s="1">
        <v>45464</v>
      </c>
    </row>
    <row r="128" spans="1:2" x14ac:dyDescent="0.3">
      <c r="A128">
        <v>127</v>
      </c>
      <c r="B128" s="1">
        <v>45531</v>
      </c>
    </row>
    <row r="129" spans="1:2" x14ac:dyDescent="0.3">
      <c r="A129">
        <v>128</v>
      </c>
      <c r="B129" s="1">
        <v>45870</v>
      </c>
    </row>
    <row r="130" spans="1:2" x14ac:dyDescent="0.3">
      <c r="A130">
        <v>129</v>
      </c>
      <c r="B130" s="1">
        <v>45740</v>
      </c>
    </row>
    <row r="131" spans="1:2" x14ac:dyDescent="0.3">
      <c r="A131">
        <v>130</v>
      </c>
      <c r="B131" s="1">
        <v>45763</v>
      </c>
    </row>
    <row r="132" spans="1:2" x14ac:dyDescent="0.3">
      <c r="A132">
        <v>131</v>
      </c>
      <c r="B132" s="1">
        <v>45928</v>
      </c>
    </row>
    <row r="133" spans="1:2" x14ac:dyDescent="0.3">
      <c r="A133">
        <v>132</v>
      </c>
      <c r="B133" s="1">
        <v>45647</v>
      </c>
    </row>
    <row r="134" spans="1:2" x14ac:dyDescent="0.3">
      <c r="A134">
        <v>133</v>
      </c>
      <c r="B134" s="1">
        <v>45972</v>
      </c>
    </row>
    <row r="135" spans="1:2" x14ac:dyDescent="0.3">
      <c r="A135">
        <v>134</v>
      </c>
      <c r="B135" s="1">
        <v>45391</v>
      </c>
    </row>
    <row r="136" spans="1:2" x14ac:dyDescent="0.3">
      <c r="A136">
        <v>135</v>
      </c>
      <c r="B136" s="1">
        <v>45426</v>
      </c>
    </row>
    <row r="137" spans="1:2" x14ac:dyDescent="0.3">
      <c r="A137">
        <v>136</v>
      </c>
      <c r="B137" s="1">
        <v>45758</v>
      </c>
    </row>
    <row r="138" spans="1:2" x14ac:dyDescent="0.3">
      <c r="A138">
        <v>137</v>
      </c>
      <c r="B138" s="1">
        <v>45391</v>
      </c>
    </row>
    <row r="139" spans="1:2" x14ac:dyDescent="0.3">
      <c r="A139">
        <v>138</v>
      </c>
      <c r="B139" s="1">
        <v>45768</v>
      </c>
    </row>
    <row r="140" spans="1:2" x14ac:dyDescent="0.3">
      <c r="A140">
        <v>139</v>
      </c>
      <c r="B140" s="1">
        <v>45986</v>
      </c>
    </row>
    <row r="141" spans="1:2" x14ac:dyDescent="0.3">
      <c r="A141">
        <v>140</v>
      </c>
      <c r="B141" s="1">
        <v>45921</v>
      </c>
    </row>
    <row r="142" spans="1:2" x14ac:dyDescent="0.3">
      <c r="A142">
        <v>141</v>
      </c>
      <c r="B142" s="1">
        <v>45347</v>
      </c>
    </row>
    <row r="143" spans="1:2" x14ac:dyDescent="0.3">
      <c r="A143">
        <v>142</v>
      </c>
      <c r="B143" s="1">
        <v>45933</v>
      </c>
    </row>
    <row r="144" spans="1:2" x14ac:dyDescent="0.3">
      <c r="A144">
        <v>143</v>
      </c>
      <c r="B144" s="1">
        <v>45759</v>
      </c>
    </row>
    <row r="145" spans="1:2" x14ac:dyDescent="0.3">
      <c r="A145">
        <v>144</v>
      </c>
      <c r="B145" s="1">
        <v>45924</v>
      </c>
    </row>
    <row r="146" spans="1:2" x14ac:dyDescent="0.3">
      <c r="A146">
        <v>145</v>
      </c>
      <c r="B146" s="1">
        <v>45961</v>
      </c>
    </row>
    <row r="147" spans="1:2" x14ac:dyDescent="0.3">
      <c r="A147">
        <v>146</v>
      </c>
      <c r="B147" s="1">
        <v>45655</v>
      </c>
    </row>
    <row r="148" spans="1:2" x14ac:dyDescent="0.3">
      <c r="A148">
        <v>147</v>
      </c>
      <c r="B148" s="1">
        <v>45921</v>
      </c>
    </row>
    <row r="149" spans="1:2" x14ac:dyDescent="0.3">
      <c r="A149">
        <v>148</v>
      </c>
      <c r="B149" s="1">
        <v>45467</v>
      </c>
    </row>
    <row r="150" spans="1:2" x14ac:dyDescent="0.3">
      <c r="A150">
        <v>149</v>
      </c>
      <c r="B150" s="1">
        <v>45750</v>
      </c>
    </row>
    <row r="151" spans="1:2" x14ac:dyDescent="0.3">
      <c r="A151">
        <v>150</v>
      </c>
      <c r="B151" s="1">
        <v>45708</v>
      </c>
    </row>
    <row r="152" spans="1:2" x14ac:dyDescent="0.3">
      <c r="A152">
        <v>151</v>
      </c>
      <c r="B152" s="1">
        <v>45308</v>
      </c>
    </row>
    <row r="153" spans="1:2" x14ac:dyDescent="0.3">
      <c r="A153">
        <v>152</v>
      </c>
      <c r="B153" s="1">
        <v>45496</v>
      </c>
    </row>
    <row r="154" spans="1:2" x14ac:dyDescent="0.3">
      <c r="A154">
        <v>153</v>
      </c>
      <c r="B154" s="1">
        <v>45774</v>
      </c>
    </row>
    <row r="155" spans="1:2" x14ac:dyDescent="0.3">
      <c r="A155">
        <v>154</v>
      </c>
      <c r="B155" s="1">
        <v>45441</v>
      </c>
    </row>
    <row r="156" spans="1:2" x14ac:dyDescent="0.3">
      <c r="A156">
        <v>155</v>
      </c>
      <c r="B156" s="1">
        <v>45858</v>
      </c>
    </row>
    <row r="157" spans="1:2" x14ac:dyDescent="0.3">
      <c r="A157">
        <v>156</v>
      </c>
      <c r="B157" s="1">
        <v>45409</v>
      </c>
    </row>
    <row r="158" spans="1:2" x14ac:dyDescent="0.3">
      <c r="A158">
        <v>157</v>
      </c>
      <c r="B158" s="1">
        <v>45403</v>
      </c>
    </row>
    <row r="159" spans="1:2" x14ac:dyDescent="0.3">
      <c r="A159">
        <v>158</v>
      </c>
      <c r="B159" s="1">
        <v>45509</v>
      </c>
    </row>
    <row r="160" spans="1:2" x14ac:dyDescent="0.3">
      <c r="A160">
        <v>159</v>
      </c>
      <c r="B160" s="1">
        <v>45745</v>
      </c>
    </row>
    <row r="161" spans="1:2" x14ac:dyDescent="0.3">
      <c r="A161">
        <v>160</v>
      </c>
      <c r="B161" s="1">
        <v>45509</v>
      </c>
    </row>
    <row r="162" spans="1:2" x14ac:dyDescent="0.3">
      <c r="A162">
        <v>161</v>
      </c>
      <c r="B162" s="1">
        <v>45577</v>
      </c>
    </row>
    <row r="163" spans="1:2" x14ac:dyDescent="0.3">
      <c r="A163">
        <v>162</v>
      </c>
      <c r="B163" s="1">
        <v>45799</v>
      </c>
    </row>
    <row r="164" spans="1:2" x14ac:dyDescent="0.3">
      <c r="A164">
        <v>163</v>
      </c>
      <c r="B164" s="1">
        <v>45897</v>
      </c>
    </row>
    <row r="165" spans="1:2" x14ac:dyDescent="0.3">
      <c r="A165">
        <v>164</v>
      </c>
      <c r="B165" s="1">
        <v>45894</v>
      </c>
    </row>
    <row r="166" spans="1:2" x14ac:dyDescent="0.3">
      <c r="A166">
        <v>165</v>
      </c>
      <c r="B166" s="1">
        <v>45319</v>
      </c>
    </row>
    <row r="167" spans="1:2" x14ac:dyDescent="0.3">
      <c r="A167">
        <v>166</v>
      </c>
      <c r="B167" s="1">
        <v>45552</v>
      </c>
    </row>
    <row r="168" spans="1:2" x14ac:dyDescent="0.3">
      <c r="A168">
        <v>167</v>
      </c>
      <c r="B168" s="1">
        <v>45631</v>
      </c>
    </row>
    <row r="169" spans="1:2" x14ac:dyDescent="0.3">
      <c r="A169">
        <v>168</v>
      </c>
      <c r="B169" s="1">
        <v>45560</v>
      </c>
    </row>
    <row r="170" spans="1:2" x14ac:dyDescent="0.3">
      <c r="A170">
        <v>169</v>
      </c>
      <c r="B170" s="1">
        <v>45573</v>
      </c>
    </row>
    <row r="171" spans="1:2" x14ac:dyDescent="0.3">
      <c r="A171">
        <v>170</v>
      </c>
      <c r="B171" s="1">
        <v>45515</v>
      </c>
    </row>
    <row r="172" spans="1:2" x14ac:dyDescent="0.3">
      <c r="A172">
        <v>171</v>
      </c>
      <c r="B172" s="1">
        <v>45938</v>
      </c>
    </row>
    <row r="173" spans="1:2" x14ac:dyDescent="0.3">
      <c r="A173">
        <v>172</v>
      </c>
      <c r="B173" s="1">
        <v>45304</v>
      </c>
    </row>
    <row r="174" spans="1:2" x14ac:dyDescent="0.3">
      <c r="A174">
        <v>173</v>
      </c>
      <c r="B174" s="1">
        <v>45324</v>
      </c>
    </row>
    <row r="175" spans="1:2" x14ac:dyDescent="0.3">
      <c r="A175">
        <v>174</v>
      </c>
      <c r="B175" s="1">
        <v>45332</v>
      </c>
    </row>
    <row r="176" spans="1:2" x14ac:dyDescent="0.3">
      <c r="A176">
        <v>175</v>
      </c>
      <c r="B176" s="1">
        <v>45893</v>
      </c>
    </row>
    <row r="177" spans="1:2" x14ac:dyDescent="0.3">
      <c r="A177">
        <v>176</v>
      </c>
      <c r="B177" s="1">
        <v>45931</v>
      </c>
    </row>
    <row r="178" spans="1:2" x14ac:dyDescent="0.3">
      <c r="A178">
        <v>177</v>
      </c>
      <c r="B178" s="1">
        <v>45581</v>
      </c>
    </row>
    <row r="179" spans="1:2" x14ac:dyDescent="0.3">
      <c r="A179">
        <v>178</v>
      </c>
      <c r="B179" s="1">
        <v>45646</v>
      </c>
    </row>
    <row r="180" spans="1:2" x14ac:dyDescent="0.3">
      <c r="A180">
        <v>179</v>
      </c>
      <c r="B180" s="1">
        <v>45882</v>
      </c>
    </row>
    <row r="181" spans="1:2" x14ac:dyDescent="0.3">
      <c r="A181">
        <v>180</v>
      </c>
      <c r="B181" s="1">
        <v>45739</v>
      </c>
    </row>
    <row r="182" spans="1:2" x14ac:dyDescent="0.3">
      <c r="A182">
        <v>181</v>
      </c>
      <c r="B182" s="1">
        <v>45797</v>
      </c>
    </row>
    <row r="183" spans="1:2" x14ac:dyDescent="0.3">
      <c r="A183">
        <v>182</v>
      </c>
      <c r="B183" s="1">
        <v>45799</v>
      </c>
    </row>
    <row r="184" spans="1:2" x14ac:dyDescent="0.3">
      <c r="A184">
        <v>183</v>
      </c>
      <c r="B184" s="1">
        <v>45444</v>
      </c>
    </row>
    <row r="185" spans="1:2" x14ac:dyDescent="0.3">
      <c r="A185">
        <v>184</v>
      </c>
      <c r="B185" s="1">
        <v>45534</v>
      </c>
    </row>
    <row r="186" spans="1:2" x14ac:dyDescent="0.3">
      <c r="A186">
        <v>185</v>
      </c>
      <c r="B186" s="1">
        <v>45850</v>
      </c>
    </row>
    <row r="187" spans="1:2" x14ac:dyDescent="0.3">
      <c r="A187">
        <v>186</v>
      </c>
      <c r="B187" s="1">
        <v>45561</v>
      </c>
    </row>
    <row r="188" spans="1:2" x14ac:dyDescent="0.3">
      <c r="A188">
        <v>187</v>
      </c>
      <c r="B188" s="1">
        <v>45806</v>
      </c>
    </row>
    <row r="189" spans="1:2" x14ac:dyDescent="0.3">
      <c r="A189">
        <v>188</v>
      </c>
      <c r="B189" s="1">
        <v>45708</v>
      </c>
    </row>
    <row r="190" spans="1:2" x14ac:dyDescent="0.3">
      <c r="A190">
        <v>189</v>
      </c>
      <c r="B190" s="1">
        <v>45520</v>
      </c>
    </row>
    <row r="191" spans="1:2" x14ac:dyDescent="0.3">
      <c r="A191">
        <v>190</v>
      </c>
      <c r="B191" s="1">
        <v>45738</v>
      </c>
    </row>
    <row r="192" spans="1:2" x14ac:dyDescent="0.3">
      <c r="A192">
        <v>191</v>
      </c>
      <c r="B192" s="1">
        <v>45916</v>
      </c>
    </row>
    <row r="193" spans="1:2" x14ac:dyDescent="0.3">
      <c r="A193">
        <v>192</v>
      </c>
      <c r="B193" s="1">
        <v>45540</v>
      </c>
    </row>
    <row r="194" spans="1:2" x14ac:dyDescent="0.3">
      <c r="A194">
        <v>193</v>
      </c>
      <c r="B194" s="1">
        <v>45430</v>
      </c>
    </row>
    <row r="195" spans="1:2" x14ac:dyDescent="0.3">
      <c r="A195">
        <v>194</v>
      </c>
      <c r="B195" s="1">
        <v>45893</v>
      </c>
    </row>
    <row r="196" spans="1:2" x14ac:dyDescent="0.3">
      <c r="A196">
        <v>195</v>
      </c>
      <c r="B196" s="1">
        <v>45942</v>
      </c>
    </row>
    <row r="197" spans="1:2" x14ac:dyDescent="0.3">
      <c r="A197">
        <v>196</v>
      </c>
      <c r="B197" s="1">
        <v>45326</v>
      </c>
    </row>
    <row r="198" spans="1:2" x14ac:dyDescent="0.3">
      <c r="A198">
        <v>197</v>
      </c>
      <c r="B198" s="1">
        <v>45440</v>
      </c>
    </row>
    <row r="199" spans="1:2" x14ac:dyDescent="0.3">
      <c r="A199">
        <v>198</v>
      </c>
      <c r="B199" s="1">
        <v>45978</v>
      </c>
    </row>
    <row r="200" spans="1:2" x14ac:dyDescent="0.3">
      <c r="A200">
        <v>199</v>
      </c>
      <c r="B200" s="1">
        <v>45898</v>
      </c>
    </row>
    <row r="201" spans="1:2" x14ac:dyDescent="0.3">
      <c r="A201">
        <v>200</v>
      </c>
      <c r="B201" s="1">
        <v>45751</v>
      </c>
    </row>
    <row r="202" spans="1:2" x14ac:dyDescent="0.3">
      <c r="A202">
        <v>201</v>
      </c>
      <c r="B202" s="1">
        <v>45823</v>
      </c>
    </row>
    <row r="203" spans="1:2" x14ac:dyDescent="0.3">
      <c r="A203">
        <v>202</v>
      </c>
      <c r="B203" s="1">
        <v>45577</v>
      </c>
    </row>
    <row r="204" spans="1:2" x14ac:dyDescent="0.3">
      <c r="A204">
        <v>203</v>
      </c>
      <c r="B204" s="1">
        <v>45496</v>
      </c>
    </row>
    <row r="205" spans="1:2" x14ac:dyDescent="0.3">
      <c r="A205">
        <v>204</v>
      </c>
      <c r="B205" s="1">
        <v>45501</v>
      </c>
    </row>
    <row r="206" spans="1:2" x14ac:dyDescent="0.3">
      <c r="A206">
        <v>205</v>
      </c>
      <c r="B206" s="1">
        <v>45775</v>
      </c>
    </row>
    <row r="207" spans="1:2" x14ac:dyDescent="0.3">
      <c r="A207">
        <v>206</v>
      </c>
      <c r="B207" s="1">
        <v>45583</v>
      </c>
    </row>
    <row r="208" spans="1:2" x14ac:dyDescent="0.3">
      <c r="A208">
        <v>207</v>
      </c>
      <c r="B208" s="1">
        <v>45933</v>
      </c>
    </row>
    <row r="209" spans="1:2" x14ac:dyDescent="0.3">
      <c r="A209">
        <v>208</v>
      </c>
      <c r="B209" s="1">
        <v>45825</v>
      </c>
    </row>
    <row r="210" spans="1:2" x14ac:dyDescent="0.3">
      <c r="A210">
        <v>209</v>
      </c>
      <c r="B210" s="1">
        <v>45605</v>
      </c>
    </row>
    <row r="211" spans="1:2" x14ac:dyDescent="0.3">
      <c r="A211">
        <v>210</v>
      </c>
      <c r="B211" s="1">
        <v>45991</v>
      </c>
    </row>
    <row r="212" spans="1:2" x14ac:dyDescent="0.3">
      <c r="A212">
        <v>211</v>
      </c>
      <c r="B212" s="1">
        <v>45594</v>
      </c>
    </row>
    <row r="213" spans="1:2" x14ac:dyDescent="0.3">
      <c r="A213">
        <v>212</v>
      </c>
      <c r="B213" s="1">
        <v>45722</v>
      </c>
    </row>
    <row r="214" spans="1:2" x14ac:dyDescent="0.3">
      <c r="A214">
        <v>213</v>
      </c>
      <c r="B214" s="1">
        <v>45528</v>
      </c>
    </row>
    <row r="215" spans="1:2" x14ac:dyDescent="0.3">
      <c r="A215">
        <v>214</v>
      </c>
      <c r="B215" s="1">
        <v>45701</v>
      </c>
    </row>
    <row r="216" spans="1:2" x14ac:dyDescent="0.3">
      <c r="A216">
        <v>215</v>
      </c>
      <c r="B216" s="1">
        <v>45560</v>
      </c>
    </row>
    <row r="217" spans="1:2" x14ac:dyDescent="0.3">
      <c r="A217">
        <v>216</v>
      </c>
      <c r="B217" s="1">
        <v>45424</v>
      </c>
    </row>
    <row r="218" spans="1:2" x14ac:dyDescent="0.3">
      <c r="A218">
        <v>217</v>
      </c>
      <c r="B218" s="1">
        <v>45316</v>
      </c>
    </row>
    <row r="219" spans="1:2" x14ac:dyDescent="0.3">
      <c r="A219">
        <v>218</v>
      </c>
      <c r="B219" s="1">
        <v>45495</v>
      </c>
    </row>
    <row r="220" spans="1:2" x14ac:dyDescent="0.3">
      <c r="A220">
        <v>219</v>
      </c>
      <c r="B220" s="1">
        <v>45835</v>
      </c>
    </row>
    <row r="221" spans="1:2" x14ac:dyDescent="0.3">
      <c r="A221">
        <v>220</v>
      </c>
      <c r="B221" s="1">
        <v>45799</v>
      </c>
    </row>
    <row r="222" spans="1:2" x14ac:dyDescent="0.3">
      <c r="A222">
        <v>221</v>
      </c>
      <c r="B222" s="1">
        <v>45690</v>
      </c>
    </row>
    <row r="223" spans="1:2" x14ac:dyDescent="0.3">
      <c r="A223">
        <v>222</v>
      </c>
      <c r="B223" s="1">
        <v>45771</v>
      </c>
    </row>
    <row r="224" spans="1:2" x14ac:dyDescent="0.3">
      <c r="A224">
        <v>223</v>
      </c>
      <c r="B224" s="1">
        <v>45934</v>
      </c>
    </row>
    <row r="225" spans="1:2" x14ac:dyDescent="0.3">
      <c r="A225">
        <v>224</v>
      </c>
      <c r="B225" s="1">
        <v>45400</v>
      </c>
    </row>
    <row r="226" spans="1:2" x14ac:dyDescent="0.3">
      <c r="A226">
        <v>225</v>
      </c>
      <c r="B226" s="1">
        <v>45438</v>
      </c>
    </row>
    <row r="227" spans="1:2" x14ac:dyDescent="0.3">
      <c r="A227">
        <v>226</v>
      </c>
      <c r="B227" s="1">
        <v>45931</v>
      </c>
    </row>
    <row r="228" spans="1:2" x14ac:dyDescent="0.3">
      <c r="A228">
        <v>227</v>
      </c>
      <c r="B228" s="1">
        <v>45672</v>
      </c>
    </row>
    <row r="229" spans="1:2" x14ac:dyDescent="0.3">
      <c r="A229">
        <v>228</v>
      </c>
      <c r="B229" s="1">
        <v>45935</v>
      </c>
    </row>
    <row r="230" spans="1:2" x14ac:dyDescent="0.3">
      <c r="A230">
        <v>229</v>
      </c>
      <c r="B230" s="1">
        <v>45942</v>
      </c>
    </row>
    <row r="231" spans="1:2" x14ac:dyDescent="0.3">
      <c r="A231">
        <v>230</v>
      </c>
      <c r="B231" s="1">
        <v>45395</v>
      </c>
    </row>
    <row r="232" spans="1:2" x14ac:dyDescent="0.3">
      <c r="A232">
        <v>231</v>
      </c>
      <c r="B232" s="1">
        <v>45505</v>
      </c>
    </row>
    <row r="233" spans="1:2" x14ac:dyDescent="0.3">
      <c r="A233">
        <v>232</v>
      </c>
      <c r="B233" s="1">
        <v>45479</v>
      </c>
    </row>
    <row r="234" spans="1:2" x14ac:dyDescent="0.3">
      <c r="A234">
        <v>233</v>
      </c>
      <c r="B234" s="1">
        <v>45450</v>
      </c>
    </row>
    <row r="235" spans="1:2" x14ac:dyDescent="0.3">
      <c r="A235">
        <v>234</v>
      </c>
      <c r="B235" s="1">
        <v>45832</v>
      </c>
    </row>
    <row r="236" spans="1:2" x14ac:dyDescent="0.3">
      <c r="A236">
        <v>235</v>
      </c>
      <c r="B236" s="1">
        <v>45935</v>
      </c>
    </row>
    <row r="237" spans="1:2" x14ac:dyDescent="0.3">
      <c r="A237">
        <v>236</v>
      </c>
      <c r="B237" s="1">
        <v>45473</v>
      </c>
    </row>
    <row r="238" spans="1:2" x14ac:dyDescent="0.3">
      <c r="A238">
        <v>237</v>
      </c>
      <c r="B238" s="1">
        <v>45911</v>
      </c>
    </row>
    <row r="239" spans="1:2" x14ac:dyDescent="0.3">
      <c r="A239">
        <v>238</v>
      </c>
      <c r="B239" s="1">
        <v>45803</v>
      </c>
    </row>
    <row r="240" spans="1:2" x14ac:dyDescent="0.3">
      <c r="A240">
        <v>239</v>
      </c>
      <c r="B240" s="1">
        <v>45923</v>
      </c>
    </row>
    <row r="241" spans="1:2" x14ac:dyDescent="0.3">
      <c r="A241">
        <v>240</v>
      </c>
      <c r="B241" s="1">
        <v>45384</v>
      </c>
    </row>
    <row r="242" spans="1:2" x14ac:dyDescent="0.3">
      <c r="A242">
        <v>241</v>
      </c>
      <c r="B242" s="1">
        <v>45924</v>
      </c>
    </row>
    <row r="243" spans="1:2" x14ac:dyDescent="0.3">
      <c r="A243">
        <v>242</v>
      </c>
      <c r="B243" s="1">
        <v>45302</v>
      </c>
    </row>
    <row r="244" spans="1:2" x14ac:dyDescent="0.3">
      <c r="A244">
        <v>243</v>
      </c>
      <c r="B244" s="1">
        <v>45753</v>
      </c>
    </row>
    <row r="245" spans="1:2" x14ac:dyDescent="0.3">
      <c r="A245">
        <v>244</v>
      </c>
      <c r="B245" s="1">
        <v>45580</v>
      </c>
    </row>
    <row r="246" spans="1:2" x14ac:dyDescent="0.3">
      <c r="A246">
        <v>245</v>
      </c>
      <c r="B246" s="1">
        <v>45871</v>
      </c>
    </row>
    <row r="247" spans="1:2" x14ac:dyDescent="0.3">
      <c r="A247">
        <v>246</v>
      </c>
      <c r="B247" s="1">
        <v>45410</v>
      </c>
    </row>
    <row r="248" spans="1:2" x14ac:dyDescent="0.3">
      <c r="A248">
        <v>247</v>
      </c>
      <c r="B248" s="1">
        <v>45741</v>
      </c>
    </row>
    <row r="249" spans="1:2" x14ac:dyDescent="0.3">
      <c r="A249">
        <v>248</v>
      </c>
      <c r="B249" s="1">
        <v>45401</v>
      </c>
    </row>
    <row r="250" spans="1:2" x14ac:dyDescent="0.3">
      <c r="A250">
        <v>249</v>
      </c>
      <c r="B250" s="1">
        <v>45385</v>
      </c>
    </row>
    <row r="251" spans="1:2" x14ac:dyDescent="0.3">
      <c r="A251">
        <v>250</v>
      </c>
      <c r="B251" s="1">
        <v>45953</v>
      </c>
    </row>
    <row r="252" spans="1:2" x14ac:dyDescent="0.3">
      <c r="A252">
        <v>251</v>
      </c>
      <c r="B252" s="1">
        <v>45359</v>
      </c>
    </row>
    <row r="253" spans="1:2" x14ac:dyDescent="0.3">
      <c r="A253">
        <v>252</v>
      </c>
      <c r="B253" s="1">
        <v>45910</v>
      </c>
    </row>
    <row r="254" spans="1:2" x14ac:dyDescent="0.3">
      <c r="A254">
        <v>253</v>
      </c>
      <c r="B254" s="1">
        <v>45564</v>
      </c>
    </row>
    <row r="255" spans="1:2" x14ac:dyDescent="0.3">
      <c r="A255">
        <v>254</v>
      </c>
      <c r="B255" s="1">
        <v>45320</v>
      </c>
    </row>
    <row r="256" spans="1:2" x14ac:dyDescent="0.3">
      <c r="A256">
        <v>255</v>
      </c>
      <c r="B256" s="1">
        <v>45396</v>
      </c>
    </row>
    <row r="257" spans="1:2" x14ac:dyDescent="0.3">
      <c r="A257">
        <v>256</v>
      </c>
      <c r="B257" s="1">
        <v>45415</v>
      </c>
    </row>
    <row r="258" spans="1:2" x14ac:dyDescent="0.3">
      <c r="A258">
        <v>257</v>
      </c>
      <c r="B258" s="1">
        <v>45458</v>
      </c>
    </row>
    <row r="259" spans="1:2" x14ac:dyDescent="0.3">
      <c r="A259">
        <v>258</v>
      </c>
      <c r="B259" s="1">
        <v>45670</v>
      </c>
    </row>
    <row r="260" spans="1:2" x14ac:dyDescent="0.3">
      <c r="A260">
        <v>259</v>
      </c>
      <c r="B260" s="1">
        <v>45726</v>
      </c>
    </row>
    <row r="261" spans="1:2" x14ac:dyDescent="0.3">
      <c r="A261">
        <v>260</v>
      </c>
      <c r="B261" s="1">
        <v>45784</v>
      </c>
    </row>
    <row r="262" spans="1:2" x14ac:dyDescent="0.3">
      <c r="A262">
        <v>261</v>
      </c>
      <c r="B262" s="1">
        <v>45308</v>
      </c>
    </row>
    <row r="263" spans="1:2" x14ac:dyDescent="0.3">
      <c r="A263">
        <v>262</v>
      </c>
      <c r="B263" s="1">
        <v>45672</v>
      </c>
    </row>
    <row r="264" spans="1:2" x14ac:dyDescent="0.3">
      <c r="A264">
        <v>263</v>
      </c>
      <c r="B264" s="1">
        <v>45749</v>
      </c>
    </row>
    <row r="265" spans="1:2" x14ac:dyDescent="0.3">
      <c r="A265">
        <v>264</v>
      </c>
      <c r="B265" s="1">
        <v>45722</v>
      </c>
    </row>
    <row r="266" spans="1:2" x14ac:dyDescent="0.3">
      <c r="A266">
        <v>265</v>
      </c>
      <c r="B266" s="1">
        <v>45588</v>
      </c>
    </row>
    <row r="267" spans="1:2" x14ac:dyDescent="0.3">
      <c r="A267">
        <v>266</v>
      </c>
      <c r="B267" s="1">
        <v>45859</v>
      </c>
    </row>
    <row r="268" spans="1:2" x14ac:dyDescent="0.3">
      <c r="A268">
        <v>267</v>
      </c>
      <c r="B268" s="1">
        <v>45306</v>
      </c>
    </row>
    <row r="269" spans="1:2" x14ac:dyDescent="0.3">
      <c r="A269">
        <v>268</v>
      </c>
      <c r="B269" s="1">
        <v>45333</v>
      </c>
    </row>
    <row r="270" spans="1:2" x14ac:dyDescent="0.3">
      <c r="A270">
        <v>269</v>
      </c>
      <c r="B270" s="1">
        <v>45686</v>
      </c>
    </row>
    <row r="271" spans="1:2" x14ac:dyDescent="0.3">
      <c r="A271">
        <v>270</v>
      </c>
      <c r="B271" s="1">
        <v>45525</v>
      </c>
    </row>
    <row r="272" spans="1:2" x14ac:dyDescent="0.3">
      <c r="A272">
        <v>271</v>
      </c>
      <c r="B272" s="1">
        <v>45670</v>
      </c>
    </row>
    <row r="273" spans="1:2" x14ac:dyDescent="0.3">
      <c r="A273">
        <v>272</v>
      </c>
      <c r="B273" s="1">
        <v>45919</v>
      </c>
    </row>
    <row r="274" spans="1:2" x14ac:dyDescent="0.3">
      <c r="A274">
        <v>273</v>
      </c>
      <c r="B274" s="1">
        <v>45984</v>
      </c>
    </row>
    <row r="275" spans="1:2" x14ac:dyDescent="0.3">
      <c r="A275">
        <v>274</v>
      </c>
      <c r="B275" s="1">
        <v>45524</v>
      </c>
    </row>
    <row r="276" spans="1:2" x14ac:dyDescent="0.3">
      <c r="A276">
        <v>275</v>
      </c>
      <c r="B276" s="1">
        <v>45357</v>
      </c>
    </row>
    <row r="277" spans="1:2" x14ac:dyDescent="0.3">
      <c r="A277">
        <v>276</v>
      </c>
      <c r="B277" s="1">
        <v>45417</v>
      </c>
    </row>
    <row r="278" spans="1:2" x14ac:dyDescent="0.3">
      <c r="A278">
        <v>277</v>
      </c>
      <c r="B278" s="1">
        <v>45891</v>
      </c>
    </row>
    <row r="279" spans="1:2" x14ac:dyDescent="0.3">
      <c r="A279">
        <v>278</v>
      </c>
      <c r="B279" s="1">
        <v>45918</v>
      </c>
    </row>
    <row r="280" spans="1:2" x14ac:dyDescent="0.3">
      <c r="A280">
        <v>279</v>
      </c>
      <c r="B280" s="1">
        <v>45443</v>
      </c>
    </row>
    <row r="281" spans="1:2" x14ac:dyDescent="0.3">
      <c r="A281">
        <v>280</v>
      </c>
      <c r="B281" s="1">
        <v>45775</v>
      </c>
    </row>
    <row r="282" spans="1:2" x14ac:dyDescent="0.3">
      <c r="A282">
        <v>281</v>
      </c>
      <c r="B282" s="1">
        <v>45475</v>
      </c>
    </row>
    <row r="283" spans="1:2" x14ac:dyDescent="0.3">
      <c r="A283">
        <v>282</v>
      </c>
      <c r="B283" s="1">
        <v>45722</v>
      </c>
    </row>
    <row r="284" spans="1:2" x14ac:dyDescent="0.3">
      <c r="A284">
        <v>283</v>
      </c>
      <c r="B284" s="1">
        <v>45858</v>
      </c>
    </row>
    <row r="285" spans="1:2" x14ac:dyDescent="0.3">
      <c r="A285">
        <v>284</v>
      </c>
      <c r="B285" s="1">
        <v>45636</v>
      </c>
    </row>
    <row r="286" spans="1:2" x14ac:dyDescent="0.3">
      <c r="A286">
        <v>285</v>
      </c>
      <c r="B286" s="1">
        <v>45923</v>
      </c>
    </row>
    <row r="287" spans="1:2" x14ac:dyDescent="0.3">
      <c r="A287">
        <v>286</v>
      </c>
      <c r="B287" s="1">
        <v>45743</v>
      </c>
    </row>
    <row r="288" spans="1:2" x14ac:dyDescent="0.3">
      <c r="A288">
        <v>287</v>
      </c>
      <c r="B288" s="1">
        <v>45615</v>
      </c>
    </row>
    <row r="289" spans="1:2" x14ac:dyDescent="0.3">
      <c r="A289">
        <v>288</v>
      </c>
      <c r="B289" s="1">
        <v>45702</v>
      </c>
    </row>
    <row r="290" spans="1:2" x14ac:dyDescent="0.3">
      <c r="A290">
        <v>289</v>
      </c>
      <c r="B290" s="1">
        <v>45832</v>
      </c>
    </row>
    <row r="291" spans="1:2" x14ac:dyDescent="0.3">
      <c r="A291">
        <v>290</v>
      </c>
      <c r="B291" s="1">
        <v>45545</v>
      </c>
    </row>
    <row r="292" spans="1:2" x14ac:dyDescent="0.3">
      <c r="A292">
        <v>291</v>
      </c>
      <c r="B292" s="1">
        <v>45437</v>
      </c>
    </row>
    <row r="293" spans="1:2" x14ac:dyDescent="0.3">
      <c r="A293">
        <v>292</v>
      </c>
      <c r="B293" s="1">
        <v>45684</v>
      </c>
    </row>
    <row r="294" spans="1:2" x14ac:dyDescent="0.3">
      <c r="A294">
        <v>293</v>
      </c>
      <c r="B294" s="1">
        <v>45367</v>
      </c>
    </row>
    <row r="295" spans="1:2" x14ac:dyDescent="0.3">
      <c r="A295">
        <v>294</v>
      </c>
      <c r="B295" s="1">
        <v>45324</v>
      </c>
    </row>
    <row r="296" spans="1:2" x14ac:dyDescent="0.3">
      <c r="A296">
        <v>295</v>
      </c>
      <c r="B296" s="1">
        <v>45452</v>
      </c>
    </row>
    <row r="297" spans="1:2" x14ac:dyDescent="0.3">
      <c r="A297">
        <v>296</v>
      </c>
      <c r="B297" s="1">
        <v>45985</v>
      </c>
    </row>
    <row r="298" spans="1:2" x14ac:dyDescent="0.3">
      <c r="A298">
        <v>297</v>
      </c>
      <c r="B298" s="1">
        <v>45310</v>
      </c>
    </row>
    <row r="299" spans="1:2" x14ac:dyDescent="0.3">
      <c r="A299">
        <v>298</v>
      </c>
      <c r="B299" s="1">
        <v>45426</v>
      </c>
    </row>
    <row r="300" spans="1:2" x14ac:dyDescent="0.3">
      <c r="A300">
        <v>299</v>
      </c>
      <c r="B300" s="1">
        <v>45687</v>
      </c>
    </row>
    <row r="301" spans="1:2" x14ac:dyDescent="0.3">
      <c r="A301">
        <v>300</v>
      </c>
      <c r="B301" s="1">
        <v>45314</v>
      </c>
    </row>
    <row r="302" spans="1:2" x14ac:dyDescent="0.3">
      <c r="A302">
        <v>301</v>
      </c>
      <c r="B302" s="1">
        <v>45887</v>
      </c>
    </row>
    <row r="303" spans="1:2" x14ac:dyDescent="0.3">
      <c r="A303">
        <v>302</v>
      </c>
      <c r="B303" s="1">
        <v>45856</v>
      </c>
    </row>
    <row r="304" spans="1:2" x14ac:dyDescent="0.3">
      <c r="A304">
        <v>303</v>
      </c>
      <c r="B304" s="1">
        <v>45723</v>
      </c>
    </row>
    <row r="305" spans="1:2" x14ac:dyDescent="0.3">
      <c r="A305">
        <v>304</v>
      </c>
      <c r="B305" s="1">
        <v>45875</v>
      </c>
    </row>
    <row r="306" spans="1:2" x14ac:dyDescent="0.3">
      <c r="A306">
        <v>305</v>
      </c>
      <c r="B306" s="1">
        <v>45884</v>
      </c>
    </row>
    <row r="307" spans="1:2" x14ac:dyDescent="0.3">
      <c r="A307">
        <v>306</v>
      </c>
      <c r="B307" s="1">
        <v>45427</v>
      </c>
    </row>
    <row r="308" spans="1:2" x14ac:dyDescent="0.3">
      <c r="A308">
        <v>307</v>
      </c>
      <c r="B308" s="1">
        <v>45834</v>
      </c>
    </row>
    <row r="309" spans="1:2" x14ac:dyDescent="0.3">
      <c r="A309">
        <v>308</v>
      </c>
      <c r="B309" s="1">
        <v>45715</v>
      </c>
    </row>
    <row r="310" spans="1:2" x14ac:dyDescent="0.3">
      <c r="A310">
        <v>309</v>
      </c>
      <c r="B310" s="1">
        <v>45705</v>
      </c>
    </row>
    <row r="311" spans="1:2" x14ac:dyDescent="0.3">
      <c r="A311">
        <v>310</v>
      </c>
      <c r="B311" s="1">
        <v>45374</v>
      </c>
    </row>
    <row r="312" spans="1:2" x14ac:dyDescent="0.3">
      <c r="A312">
        <v>311</v>
      </c>
      <c r="B312" s="1">
        <v>45778</v>
      </c>
    </row>
    <row r="313" spans="1:2" x14ac:dyDescent="0.3">
      <c r="A313">
        <v>312</v>
      </c>
      <c r="B313" s="1">
        <v>45642</v>
      </c>
    </row>
    <row r="314" spans="1:2" x14ac:dyDescent="0.3">
      <c r="A314">
        <v>313</v>
      </c>
      <c r="B314" s="1">
        <v>45785</v>
      </c>
    </row>
    <row r="315" spans="1:2" x14ac:dyDescent="0.3">
      <c r="A315">
        <v>314</v>
      </c>
      <c r="B315" s="1">
        <v>45344</v>
      </c>
    </row>
    <row r="316" spans="1:2" x14ac:dyDescent="0.3">
      <c r="A316">
        <v>315</v>
      </c>
      <c r="B316" s="1">
        <v>45723</v>
      </c>
    </row>
    <row r="317" spans="1:2" x14ac:dyDescent="0.3">
      <c r="A317">
        <v>316</v>
      </c>
      <c r="B317" s="1">
        <v>45476</v>
      </c>
    </row>
    <row r="318" spans="1:2" x14ac:dyDescent="0.3">
      <c r="A318">
        <v>317</v>
      </c>
      <c r="B318" s="1">
        <v>45493</v>
      </c>
    </row>
    <row r="319" spans="1:2" x14ac:dyDescent="0.3">
      <c r="A319">
        <v>318</v>
      </c>
      <c r="B319" s="1">
        <v>45736</v>
      </c>
    </row>
    <row r="320" spans="1:2" x14ac:dyDescent="0.3">
      <c r="A320">
        <v>319</v>
      </c>
      <c r="B320" s="1">
        <v>45941</v>
      </c>
    </row>
    <row r="321" spans="1:2" x14ac:dyDescent="0.3">
      <c r="A321">
        <v>320</v>
      </c>
      <c r="B321" s="1">
        <v>45899</v>
      </c>
    </row>
    <row r="322" spans="1:2" x14ac:dyDescent="0.3">
      <c r="A322">
        <v>321</v>
      </c>
      <c r="B322" s="1">
        <v>45344</v>
      </c>
    </row>
    <row r="323" spans="1:2" x14ac:dyDescent="0.3">
      <c r="A323">
        <v>322</v>
      </c>
      <c r="B323" s="1">
        <v>45560</v>
      </c>
    </row>
    <row r="324" spans="1:2" x14ac:dyDescent="0.3">
      <c r="A324">
        <v>323</v>
      </c>
      <c r="B324" s="1">
        <v>45710</v>
      </c>
    </row>
    <row r="325" spans="1:2" x14ac:dyDescent="0.3">
      <c r="A325">
        <v>324</v>
      </c>
      <c r="B325" s="1">
        <v>45948</v>
      </c>
    </row>
    <row r="326" spans="1:2" x14ac:dyDescent="0.3">
      <c r="A326">
        <v>325</v>
      </c>
      <c r="B326" s="1">
        <v>45990</v>
      </c>
    </row>
    <row r="327" spans="1:2" x14ac:dyDescent="0.3">
      <c r="A327">
        <v>326</v>
      </c>
      <c r="B327" s="1">
        <v>45652</v>
      </c>
    </row>
    <row r="328" spans="1:2" x14ac:dyDescent="0.3">
      <c r="A328">
        <v>327</v>
      </c>
      <c r="B328" s="1">
        <v>45860</v>
      </c>
    </row>
    <row r="329" spans="1:2" x14ac:dyDescent="0.3">
      <c r="A329">
        <v>328</v>
      </c>
      <c r="B329" s="1">
        <v>45341</v>
      </c>
    </row>
    <row r="330" spans="1:2" x14ac:dyDescent="0.3">
      <c r="A330">
        <v>329</v>
      </c>
      <c r="B330" s="1">
        <v>45725</v>
      </c>
    </row>
    <row r="331" spans="1:2" x14ac:dyDescent="0.3">
      <c r="A331">
        <v>330</v>
      </c>
      <c r="B331" s="1">
        <v>45828</v>
      </c>
    </row>
    <row r="332" spans="1:2" x14ac:dyDescent="0.3">
      <c r="A332">
        <v>331</v>
      </c>
      <c r="B332" s="1">
        <v>45541</v>
      </c>
    </row>
    <row r="333" spans="1:2" x14ac:dyDescent="0.3">
      <c r="A333">
        <v>332</v>
      </c>
      <c r="B333" s="1">
        <v>45429</v>
      </c>
    </row>
    <row r="334" spans="1:2" x14ac:dyDescent="0.3">
      <c r="A334">
        <v>333</v>
      </c>
      <c r="B334" s="1">
        <v>45556</v>
      </c>
    </row>
    <row r="335" spans="1:2" x14ac:dyDescent="0.3">
      <c r="A335">
        <v>334</v>
      </c>
      <c r="B335" s="1">
        <v>45419</v>
      </c>
    </row>
    <row r="336" spans="1:2" x14ac:dyDescent="0.3">
      <c r="A336">
        <v>335</v>
      </c>
      <c r="B336" s="1">
        <v>45984</v>
      </c>
    </row>
    <row r="337" spans="1:2" x14ac:dyDescent="0.3">
      <c r="A337">
        <v>336</v>
      </c>
      <c r="B337" s="1">
        <v>45879</v>
      </c>
    </row>
    <row r="338" spans="1:2" x14ac:dyDescent="0.3">
      <c r="A338">
        <v>337</v>
      </c>
      <c r="B338" s="1">
        <v>45916</v>
      </c>
    </row>
    <row r="339" spans="1:2" x14ac:dyDescent="0.3">
      <c r="A339">
        <v>338</v>
      </c>
      <c r="B339" s="1">
        <v>45841</v>
      </c>
    </row>
    <row r="340" spans="1:2" x14ac:dyDescent="0.3">
      <c r="A340">
        <v>339</v>
      </c>
      <c r="B340" s="1">
        <v>45435</v>
      </c>
    </row>
    <row r="341" spans="1:2" x14ac:dyDescent="0.3">
      <c r="A341">
        <v>340</v>
      </c>
      <c r="B341" s="1">
        <v>45957</v>
      </c>
    </row>
    <row r="342" spans="1:2" x14ac:dyDescent="0.3">
      <c r="A342">
        <v>341</v>
      </c>
      <c r="B342" s="1">
        <v>45615</v>
      </c>
    </row>
    <row r="343" spans="1:2" x14ac:dyDescent="0.3">
      <c r="A343">
        <v>342</v>
      </c>
      <c r="B343" s="1">
        <v>45397</v>
      </c>
    </row>
    <row r="344" spans="1:2" x14ac:dyDescent="0.3">
      <c r="A344">
        <v>343</v>
      </c>
      <c r="B344" s="1">
        <v>45428</v>
      </c>
    </row>
    <row r="345" spans="1:2" x14ac:dyDescent="0.3">
      <c r="A345">
        <v>344</v>
      </c>
      <c r="B345" s="1">
        <v>45842</v>
      </c>
    </row>
    <row r="346" spans="1:2" x14ac:dyDescent="0.3">
      <c r="A346">
        <v>345</v>
      </c>
      <c r="B346" s="1">
        <v>45553</v>
      </c>
    </row>
    <row r="347" spans="1:2" x14ac:dyDescent="0.3">
      <c r="A347">
        <v>346</v>
      </c>
      <c r="B347" s="1">
        <v>45863</v>
      </c>
    </row>
    <row r="348" spans="1:2" x14ac:dyDescent="0.3">
      <c r="A348">
        <v>347</v>
      </c>
      <c r="B348" s="1">
        <v>45951</v>
      </c>
    </row>
    <row r="349" spans="1:2" x14ac:dyDescent="0.3">
      <c r="A349">
        <v>348</v>
      </c>
      <c r="B349" s="1">
        <v>45678</v>
      </c>
    </row>
    <row r="350" spans="1:2" x14ac:dyDescent="0.3">
      <c r="A350">
        <v>349</v>
      </c>
      <c r="B350" s="1">
        <v>45620</v>
      </c>
    </row>
    <row r="351" spans="1:2" x14ac:dyDescent="0.3">
      <c r="A351">
        <v>350</v>
      </c>
      <c r="B351" s="1">
        <v>45953</v>
      </c>
    </row>
    <row r="352" spans="1:2" x14ac:dyDescent="0.3">
      <c r="A352">
        <v>351</v>
      </c>
      <c r="B352" s="1">
        <v>46037.25</v>
      </c>
    </row>
    <row r="353" spans="1:2" x14ac:dyDescent="0.3">
      <c r="A353">
        <v>352</v>
      </c>
      <c r="B353" s="1">
        <v>46022.5</v>
      </c>
    </row>
    <row r="354" spans="1:2" x14ac:dyDescent="0.3">
      <c r="A354">
        <v>353</v>
      </c>
      <c r="B354" s="1">
        <v>46032.583333333336</v>
      </c>
    </row>
    <row r="355" spans="1:2" x14ac:dyDescent="0.3">
      <c r="A355">
        <v>354</v>
      </c>
      <c r="B355" s="1">
        <v>46020.791666666664</v>
      </c>
    </row>
    <row r="356" spans="1:2" x14ac:dyDescent="0.3">
      <c r="A356">
        <v>355</v>
      </c>
      <c r="B356" s="1">
        <v>46027.5</v>
      </c>
    </row>
    <row r="357" spans="1:2" x14ac:dyDescent="0.3">
      <c r="A357">
        <v>356</v>
      </c>
      <c r="B357" s="1">
        <v>46040.291666666664</v>
      </c>
    </row>
    <row r="358" spans="1:2" x14ac:dyDescent="0.3">
      <c r="A358">
        <v>357</v>
      </c>
      <c r="B358" s="1">
        <v>46041.458333333336</v>
      </c>
    </row>
    <row r="359" spans="1:2" x14ac:dyDescent="0.3">
      <c r="A359">
        <v>358</v>
      </c>
      <c r="B359" s="1">
        <v>46028.208333333336</v>
      </c>
    </row>
    <row r="360" spans="1:2" x14ac:dyDescent="0.3">
      <c r="A360">
        <v>359</v>
      </c>
      <c r="B360" s="1">
        <v>46040.916666666664</v>
      </c>
    </row>
    <row r="361" spans="1:2" x14ac:dyDescent="0.3">
      <c r="A361">
        <v>360</v>
      </c>
      <c r="B361" s="1">
        <v>46013.541666666664</v>
      </c>
    </row>
    <row r="362" spans="1:2" x14ac:dyDescent="0.3">
      <c r="A362">
        <v>361</v>
      </c>
      <c r="B362" s="1">
        <v>46033.291666666664</v>
      </c>
    </row>
    <row r="363" spans="1:2" x14ac:dyDescent="0.3">
      <c r="A363">
        <v>362</v>
      </c>
      <c r="B363" s="1">
        <v>46030.083333333336</v>
      </c>
    </row>
    <row r="364" spans="1:2" x14ac:dyDescent="0.3">
      <c r="A364">
        <v>363</v>
      </c>
      <c r="B364" s="1">
        <v>46028.708333333336</v>
      </c>
    </row>
    <row r="365" spans="1:2" x14ac:dyDescent="0.3">
      <c r="A365">
        <v>364</v>
      </c>
      <c r="B365" s="1">
        <v>46026.916666666664</v>
      </c>
    </row>
    <row r="366" spans="1:2" x14ac:dyDescent="0.3">
      <c r="A366">
        <v>365</v>
      </c>
      <c r="B366" s="1">
        <v>46018.875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3811-889E-4CC5-A4A7-BA74B7E4E570}">
  <dimension ref="A1:D41"/>
  <sheetViews>
    <sheetView workbookViewId="0">
      <selection activeCell="B17" sqref="B17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2.6640625" bestFit="1" customWidth="1"/>
    <col min="4" max="4" width="6.109375" bestFit="1" customWidth="1"/>
  </cols>
  <sheetData>
    <row r="1" spans="1:4" x14ac:dyDescent="0.3">
      <c r="A1" t="s">
        <v>2</v>
      </c>
      <c r="B1" t="s">
        <v>564</v>
      </c>
      <c r="C1" t="s">
        <v>565</v>
      </c>
      <c r="D1" t="s">
        <v>566</v>
      </c>
    </row>
    <row r="2" spans="1:4" x14ac:dyDescent="0.3">
      <c r="A2">
        <v>1</v>
      </c>
      <c r="B2" t="s">
        <v>567</v>
      </c>
      <c r="C2" t="s">
        <v>568</v>
      </c>
      <c r="D2" t="s">
        <v>569</v>
      </c>
    </row>
    <row r="3" spans="1:4" x14ac:dyDescent="0.3">
      <c r="A3">
        <v>2</v>
      </c>
      <c r="B3" t="s">
        <v>570</v>
      </c>
      <c r="C3" t="s">
        <v>571</v>
      </c>
      <c r="D3" t="s">
        <v>572</v>
      </c>
    </row>
    <row r="4" spans="1:4" x14ac:dyDescent="0.3">
      <c r="A4">
        <v>3</v>
      </c>
      <c r="B4" t="s">
        <v>573</v>
      </c>
      <c r="C4" t="s">
        <v>571</v>
      </c>
      <c r="D4" t="s">
        <v>574</v>
      </c>
    </row>
    <row r="5" spans="1:4" x14ac:dyDescent="0.3">
      <c r="A5">
        <v>4</v>
      </c>
      <c r="B5" t="s">
        <v>575</v>
      </c>
      <c r="C5" t="s">
        <v>568</v>
      </c>
      <c r="D5" t="s">
        <v>574</v>
      </c>
    </row>
    <row r="6" spans="1:4" x14ac:dyDescent="0.3">
      <c r="A6">
        <v>5</v>
      </c>
      <c r="B6" t="s">
        <v>576</v>
      </c>
      <c r="C6" t="s">
        <v>577</v>
      </c>
      <c r="D6" t="s">
        <v>569</v>
      </c>
    </row>
    <row r="7" spans="1:4" x14ac:dyDescent="0.3">
      <c r="A7">
        <v>6</v>
      </c>
      <c r="B7" t="s">
        <v>578</v>
      </c>
      <c r="C7" t="s">
        <v>579</v>
      </c>
      <c r="D7" t="s">
        <v>569</v>
      </c>
    </row>
    <row r="8" spans="1:4" x14ac:dyDescent="0.3">
      <c r="A8">
        <v>7</v>
      </c>
      <c r="B8" t="s">
        <v>580</v>
      </c>
      <c r="C8" t="s">
        <v>579</v>
      </c>
      <c r="D8" t="s">
        <v>574</v>
      </c>
    </row>
    <row r="9" spans="1:4" x14ac:dyDescent="0.3">
      <c r="A9">
        <v>8</v>
      </c>
      <c r="B9" t="s">
        <v>581</v>
      </c>
      <c r="C9" t="s">
        <v>579</v>
      </c>
      <c r="D9" t="s">
        <v>582</v>
      </c>
    </row>
    <row r="10" spans="1:4" x14ac:dyDescent="0.3">
      <c r="A10">
        <v>9</v>
      </c>
      <c r="B10" t="s">
        <v>583</v>
      </c>
      <c r="C10" t="s">
        <v>568</v>
      </c>
      <c r="D10" t="s">
        <v>582</v>
      </c>
    </row>
    <row r="11" spans="1:4" x14ac:dyDescent="0.3">
      <c r="A11">
        <v>10</v>
      </c>
      <c r="B11" t="s">
        <v>584</v>
      </c>
      <c r="C11" t="s">
        <v>571</v>
      </c>
      <c r="D11" t="s">
        <v>572</v>
      </c>
    </row>
    <row r="12" spans="1:4" x14ac:dyDescent="0.3">
      <c r="A12">
        <v>11</v>
      </c>
      <c r="B12" t="s">
        <v>585</v>
      </c>
      <c r="C12" t="s">
        <v>568</v>
      </c>
      <c r="D12" t="s">
        <v>582</v>
      </c>
    </row>
    <row r="13" spans="1:4" x14ac:dyDescent="0.3">
      <c r="A13">
        <v>12</v>
      </c>
      <c r="B13" t="s">
        <v>586</v>
      </c>
      <c r="C13" t="s">
        <v>568</v>
      </c>
      <c r="D13" t="s">
        <v>574</v>
      </c>
    </row>
    <row r="14" spans="1:4" x14ac:dyDescent="0.3">
      <c r="A14">
        <v>13</v>
      </c>
      <c r="B14" t="s">
        <v>587</v>
      </c>
      <c r="C14" t="s">
        <v>588</v>
      </c>
      <c r="D14" t="s">
        <v>574</v>
      </c>
    </row>
    <row r="15" spans="1:4" x14ac:dyDescent="0.3">
      <c r="A15">
        <v>14</v>
      </c>
      <c r="B15" t="s">
        <v>589</v>
      </c>
      <c r="C15" t="s">
        <v>571</v>
      </c>
      <c r="D15" t="s">
        <v>574</v>
      </c>
    </row>
    <row r="16" spans="1:4" x14ac:dyDescent="0.3">
      <c r="A16">
        <v>15</v>
      </c>
      <c r="B16" t="s">
        <v>590</v>
      </c>
      <c r="C16" t="s">
        <v>588</v>
      </c>
      <c r="D16" t="s">
        <v>582</v>
      </c>
    </row>
    <row r="17" spans="1:4" x14ac:dyDescent="0.3">
      <c r="A17">
        <v>16</v>
      </c>
      <c r="B17" t="s">
        <v>591</v>
      </c>
      <c r="C17" t="s">
        <v>592</v>
      </c>
      <c r="D17" t="s">
        <v>572</v>
      </c>
    </row>
    <row r="18" spans="1:4" x14ac:dyDescent="0.3">
      <c r="A18">
        <v>17</v>
      </c>
      <c r="B18" t="s">
        <v>593</v>
      </c>
      <c r="C18" t="s">
        <v>571</v>
      </c>
      <c r="D18" t="s">
        <v>582</v>
      </c>
    </row>
    <row r="19" spans="1:4" x14ac:dyDescent="0.3">
      <c r="A19">
        <v>18</v>
      </c>
      <c r="B19" t="s">
        <v>594</v>
      </c>
      <c r="C19" t="s">
        <v>571</v>
      </c>
      <c r="D19" t="s">
        <v>572</v>
      </c>
    </row>
    <row r="20" spans="1:4" x14ac:dyDescent="0.3">
      <c r="A20">
        <v>19</v>
      </c>
      <c r="B20" t="s">
        <v>595</v>
      </c>
      <c r="C20" t="s">
        <v>571</v>
      </c>
      <c r="D20" t="s">
        <v>582</v>
      </c>
    </row>
    <row r="21" spans="1:4" x14ac:dyDescent="0.3">
      <c r="A21">
        <v>20</v>
      </c>
      <c r="B21" t="s">
        <v>596</v>
      </c>
      <c r="C21" t="s">
        <v>579</v>
      </c>
      <c r="D21" t="s">
        <v>574</v>
      </c>
    </row>
    <row r="22" spans="1:4" x14ac:dyDescent="0.3">
      <c r="A22">
        <v>21</v>
      </c>
      <c r="B22" t="s">
        <v>597</v>
      </c>
      <c r="C22" t="s">
        <v>579</v>
      </c>
      <c r="D22" t="s">
        <v>574</v>
      </c>
    </row>
    <row r="23" spans="1:4" x14ac:dyDescent="0.3">
      <c r="A23">
        <v>22</v>
      </c>
      <c r="B23" t="s">
        <v>598</v>
      </c>
      <c r="C23" t="s">
        <v>588</v>
      </c>
      <c r="D23" t="s">
        <v>569</v>
      </c>
    </row>
    <row r="24" spans="1:4" x14ac:dyDescent="0.3">
      <c r="A24">
        <v>23</v>
      </c>
      <c r="B24" t="s">
        <v>599</v>
      </c>
      <c r="C24" t="s">
        <v>588</v>
      </c>
      <c r="D24" t="s">
        <v>582</v>
      </c>
    </row>
    <row r="25" spans="1:4" x14ac:dyDescent="0.3">
      <c r="A25">
        <v>24</v>
      </c>
      <c r="B25" t="s">
        <v>600</v>
      </c>
      <c r="C25" t="s">
        <v>571</v>
      </c>
      <c r="D25" t="s">
        <v>582</v>
      </c>
    </row>
    <row r="26" spans="1:4" x14ac:dyDescent="0.3">
      <c r="A26">
        <v>25</v>
      </c>
      <c r="B26" t="s">
        <v>601</v>
      </c>
      <c r="C26" t="s">
        <v>588</v>
      </c>
      <c r="D26" t="s">
        <v>569</v>
      </c>
    </row>
    <row r="27" spans="1:4" x14ac:dyDescent="0.3">
      <c r="A27">
        <v>26</v>
      </c>
      <c r="B27" t="s">
        <v>602</v>
      </c>
      <c r="C27" t="s">
        <v>579</v>
      </c>
      <c r="D27" t="s">
        <v>574</v>
      </c>
    </row>
    <row r="28" spans="1:4" x14ac:dyDescent="0.3">
      <c r="A28">
        <v>27</v>
      </c>
      <c r="B28" t="s">
        <v>603</v>
      </c>
      <c r="C28" t="s">
        <v>568</v>
      </c>
      <c r="D28" t="s">
        <v>582</v>
      </c>
    </row>
    <row r="29" spans="1:4" x14ac:dyDescent="0.3">
      <c r="A29">
        <v>28</v>
      </c>
      <c r="B29" t="s">
        <v>604</v>
      </c>
      <c r="C29" t="s">
        <v>568</v>
      </c>
      <c r="D29" t="s">
        <v>569</v>
      </c>
    </row>
    <row r="30" spans="1:4" x14ac:dyDescent="0.3">
      <c r="A30">
        <v>29</v>
      </c>
      <c r="B30" t="s">
        <v>605</v>
      </c>
      <c r="C30" t="s">
        <v>568</v>
      </c>
      <c r="D30" t="s">
        <v>582</v>
      </c>
    </row>
    <row r="31" spans="1:4" x14ac:dyDescent="0.3">
      <c r="A31">
        <v>30</v>
      </c>
      <c r="B31" t="s">
        <v>606</v>
      </c>
      <c r="C31" t="s">
        <v>588</v>
      </c>
      <c r="D31" t="s">
        <v>572</v>
      </c>
    </row>
    <row r="32" spans="1:4" x14ac:dyDescent="0.3">
      <c r="A32">
        <v>31</v>
      </c>
      <c r="B32" t="s">
        <v>607</v>
      </c>
      <c r="C32" t="s">
        <v>592</v>
      </c>
      <c r="D32" t="s">
        <v>574</v>
      </c>
    </row>
    <row r="33" spans="1:4" x14ac:dyDescent="0.3">
      <c r="A33">
        <v>32</v>
      </c>
      <c r="B33" t="s">
        <v>608</v>
      </c>
      <c r="C33" t="s">
        <v>579</v>
      </c>
      <c r="D33" t="s">
        <v>572</v>
      </c>
    </row>
    <row r="34" spans="1:4" x14ac:dyDescent="0.3">
      <c r="A34">
        <v>33</v>
      </c>
      <c r="B34" t="s">
        <v>609</v>
      </c>
      <c r="C34" t="s">
        <v>592</v>
      </c>
      <c r="D34" t="s">
        <v>574</v>
      </c>
    </row>
    <row r="35" spans="1:4" x14ac:dyDescent="0.3">
      <c r="A35">
        <v>34</v>
      </c>
      <c r="B35" t="s">
        <v>610</v>
      </c>
      <c r="C35" t="s">
        <v>588</v>
      </c>
      <c r="D35" t="s">
        <v>569</v>
      </c>
    </row>
    <row r="36" spans="1:4" x14ac:dyDescent="0.3">
      <c r="A36">
        <v>35</v>
      </c>
      <c r="B36" t="s">
        <v>611</v>
      </c>
      <c r="C36" t="s">
        <v>577</v>
      </c>
      <c r="D36" t="s">
        <v>574</v>
      </c>
    </row>
    <row r="37" spans="1:4" x14ac:dyDescent="0.3">
      <c r="A37">
        <v>36</v>
      </c>
      <c r="B37" t="s">
        <v>612</v>
      </c>
      <c r="C37" t="s">
        <v>613</v>
      </c>
      <c r="D37" t="s">
        <v>574</v>
      </c>
    </row>
    <row r="38" spans="1:4" x14ac:dyDescent="0.3">
      <c r="A38">
        <v>37</v>
      </c>
      <c r="B38" t="s">
        <v>614</v>
      </c>
      <c r="C38" t="s">
        <v>613</v>
      </c>
      <c r="D38" t="s">
        <v>569</v>
      </c>
    </row>
    <row r="39" spans="1:4" x14ac:dyDescent="0.3">
      <c r="A39">
        <v>38</v>
      </c>
      <c r="B39" t="s">
        <v>615</v>
      </c>
      <c r="C39" t="s">
        <v>571</v>
      </c>
      <c r="D39" t="s">
        <v>574</v>
      </c>
    </row>
    <row r="40" spans="1:4" x14ac:dyDescent="0.3">
      <c r="A40">
        <v>39</v>
      </c>
      <c r="B40" t="s">
        <v>616</v>
      </c>
      <c r="C40" t="s">
        <v>613</v>
      </c>
      <c r="D40" t="s">
        <v>582</v>
      </c>
    </row>
    <row r="41" spans="1:4" x14ac:dyDescent="0.3">
      <c r="A41">
        <v>40</v>
      </c>
      <c r="B41" t="s">
        <v>617</v>
      </c>
      <c r="C41" t="s">
        <v>613</v>
      </c>
      <c r="D41" t="s">
        <v>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DF69-1613-4D5B-BCCE-24F96F008E68}">
  <dimension ref="A1:E2"/>
  <sheetViews>
    <sheetView workbookViewId="0">
      <selection activeCell="C2" sqref="C2"/>
    </sheetView>
  </sheetViews>
  <sheetFormatPr defaultRowHeight="14.4" x14ac:dyDescent="0.3"/>
  <cols>
    <col min="1" max="1" width="15.88671875" bestFit="1" customWidth="1"/>
    <col min="5" max="5" width="12" bestFit="1" customWidth="1"/>
  </cols>
  <sheetData>
    <row r="1" spans="1:5" x14ac:dyDescent="0.3">
      <c r="A1" s="6" t="s">
        <v>620</v>
      </c>
      <c r="B1" s="4" t="s">
        <v>12</v>
      </c>
      <c r="C1" s="4" t="s">
        <v>9</v>
      </c>
      <c r="D1" s="4" t="s">
        <v>24</v>
      </c>
      <c r="E1" s="4" t="s">
        <v>15</v>
      </c>
    </row>
    <row r="2" spans="1:5" x14ac:dyDescent="0.3">
      <c r="A2" s="6" t="s">
        <v>621</v>
      </c>
      <c r="B2" s="5">
        <v>0</v>
      </c>
      <c r="C2" s="5">
        <v>1.2E-2</v>
      </c>
      <c r="D2" s="5">
        <v>0.02</v>
      </c>
      <c r="E2" s="5">
        <v>1.4999999999999999E-2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1D1C-686B-41C7-9715-28D2CC0B48B1}">
  <dimension ref="A3:I9"/>
  <sheetViews>
    <sheetView topLeftCell="A2" workbookViewId="0">
      <selection activeCell="H11" sqref="H11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21.88671875" bestFit="1" customWidth="1"/>
    <col min="7" max="7" width="11.109375" bestFit="1" customWidth="1"/>
    <col min="8" max="8" width="16.109375" bestFit="1" customWidth="1"/>
    <col min="9" max="9" width="11.77734375" bestFit="1" customWidth="1"/>
  </cols>
  <sheetData>
    <row r="3" spans="1:9" x14ac:dyDescent="0.3">
      <c r="A3" s="8" t="s">
        <v>625</v>
      </c>
      <c r="B3" t="s">
        <v>628</v>
      </c>
      <c r="C3" t="s">
        <v>629</v>
      </c>
      <c r="G3" s="11" t="s">
        <v>630</v>
      </c>
      <c r="H3" s="11" t="s">
        <v>631</v>
      </c>
      <c r="I3" s="11" t="s">
        <v>632</v>
      </c>
    </row>
    <row r="4" spans="1:9" x14ac:dyDescent="0.3">
      <c r="A4" s="9">
        <v>3</v>
      </c>
      <c r="B4" s="10">
        <v>17</v>
      </c>
      <c r="C4" s="10">
        <v>17</v>
      </c>
      <c r="G4" s="13">
        <v>3</v>
      </c>
      <c r="H4" s="13">
        <v>17</v>
      </c>
      <c r="I4" s="13">
        <v>17</v>
      </c>
    </row>
    <row r="5" spans="1:9" x14ac:dyDescent="0.3">
      <c r="A5" s="9">
        <v>9</v>
      </c>
      <c r="B5" s="10">
        <v>18</v>
      </c>
      <c r="C5" s="10">
        <v>18</v>
      </c>
      <c r="G5" s="13">
        <v>9</v>
      </c>
      <c r="H5" s="13">
        <v>18</v>
      </c>
      <c r="I5" s="13">
        <v>18</v>
      </c>
    </row>
    <row r="6" spans="1:9" x14ac:dyDescent="0.3">
      <c r="A6" s="9">
        <v>16</v>
      </c>
      <c r="B6" s="10">
        <v>20</v>
      </c>
      <c r="C6" s="10">
        <v>19</v>
      </c>
      <c r="G6" s="13">
        <v>16</v>
      </c>
      <c r="H6" s="13">
        <v>20</v>
      </c>
      <c r="I6" s="13">
        <v>19</v>
      </c>
    </row>
    <row r="7" spans="1:9" x14ac:dyDescent="0.3">
      <c r="A7" s="9">
        <v>29</v>
      </c>
      <c r="B7" s="10">
        <v>19</v>
      </c>
      <c r="C7" s="10">
        <v>18</v>
      </c>
      <c r="G7" s="13">
        <v>29</v>
      </c>
      <c r="H7" s="13">
        <v>19</v>
      </c>
      <c r="I7" s="13">
        <v>18</v>
      </c>
    </row>
    <row r="8" spans="1:9" x14ac:dyDescent="0.3">
      <c r="A8" s="9">
        <v>37</v>
      </c>
      <c r="B8" s="10">
        <v>19</v>
      </c>
      <c r="C8" s="10">
        <v>19</v>
      </c>
      <c r="G8" s="13">
        <v>37</v>
      </c>
      <c r="H8" s="13">
        <v>19</v>
      </c>
      <c r="I8" s="13">
        <v>19</v>
      </c>
    </row>
    <row r="9" spans="1:9" x14ac:dyDescent="0.3">
      <c r="A9" s="9" t="s">
        <v>626</v>
      </c>
      <c r="B9" s="10">
        <v>93</v>
      </c>
      <c r="C9" s="10">
        <v>82</v>
      </c>
      <c r="G9" s="12" t="s">
        <v>626</v>
      </c>
      <c r="H9" s="14">
        <v>93</v>
      </c>
      <c r="I9" s="14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D7D1-80F0-408D-ACC9-1FFCA4D1C150}">
  <dimension ref="A3:D7"/>
  <sheetViews>
    <sheetView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9.6640625" bestFit="1" customWidth="1"/>
    <col min="4" max="4" width="21" bestFit="1" customWidth="1"/>
  </cols>
  <sheetData>
    <row r="3" spans="1:4" x14ac:dyDescent="0.3">
      <c r="A3" s="8" t="s">
        <v>625</v>
      </c>
      <c r="B3" t="s">
        <v>624</v>
      </c>
      <c r="C3" t="s">
        <v>627</v>
      </c>
      <c r="D3" t="s">
        <v>628</v>
      </c>
    </row>
    <row r="4" spans="1:4" x14ac:dyDescent="0.3">
      <c r="A4" s="9" t="s">
        <v>10</v>
      </c>
      <c r="B4">
        <v>290382</v>
      </c>
      <c r="C4">
        <v>468</v>
      </c>
      <c r="D4">
        <v>468</v>
      </c>
    </row>
    <row r="5" spans="1:4" x14ac:dyDescent="0.3">
      <c r="A5" s="9" t="s">
        <v>38</v>
      </c>
      <c r="B5">
        <v>54472</v>
      </c>
      <c r="C5">
        <v>28</v>
      </c>
      <c r="D5">
        <v>28</v>
      </c>
    </row>
    <row r="6" spans="1:4" x14ac:dyDescent="0.3">
      <c r="A6" s="9" t="s">
        <v>25</v>
      </c>
      <c r="B6">
        <v>37749</v>
      </c>
      <c r="C6">
        <v>51</v>
      </c>
      <c r="D6">
        <v>51</v>
      </c>
    </row>
    <row r="7" spans="1:4" x14ac:dyDescent="0.3">
      <c r="A7" s="9" t="s">
        <v>626</v>
      </c>
      <c r="B7">
        <v>382603</v>
      </c>
      <c r="C7">
        <v>547</v>
      </c>
      <c r="D7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ledger</vt:lpstr>
      <vt:lpstr>users</vt:lpstr>
      <vt:lpstr>merchants</vt:lpstr>
      <vt:lpstr>payment_method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NAWANI</dc:creator>
  <cp:lastModifiedBy>SIMRAN NAWANI</cp:lastModifiedBy>
  <dcterms:created xsi:type="dcterms:W3CDTF">2026-08-06T18:31:18Z</dcterms:created>
  <dcterms:modified xsi:type="dcterms:W3CDTF">2026-08-30T05:13:28Z</dcterms:modified>
</cp:coreProperties>
</file>